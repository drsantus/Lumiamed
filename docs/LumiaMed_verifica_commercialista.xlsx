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struzioni" sheetId="1" state="visible" r:id="rId1"/>
    <sheet name="Casi di prova" sheetId="2" state="visible" r:id="rId2"/>
    <sheet name="Parametri" sheetId="3" state="visible" r:id="rId3"/>
  </sheets>
  <definedNames>
    <definedName name="_xlnm._FilterDatabase" localSheetId="1" hidden="1">'Casi di prova'!$A$1:$J$93</definedName>
    <definedName name="_xlnm._FilterDatabase" localSheetId="2" hidden="1">'Parametri'!$A$1:$H$61</definedName>
  </definedNames>
  <calcPr calcId="124519" fullCalcOnLoad="1"/>
</workbook>
</file>

<file path=xl/styles.xml><?xml version="1.0" encoding="utf-8"?>
<styleSheet xmlns="http://schemas.openxmlformats.org/spreadsheetml/2006/main">
  <numFmts count="1">
    <numFmt numFmtId="164" formatCode="#,##0.00 &quot;€&quot;;-#,##0.00 &quot;€&quot;;&quot;-&quot;"/>
  </numFmts>
  <fonts count="7">
    <font>
      <name val="Calibri"/>
      <family val="2"/>
      <color theme="1"/>
      <sz val="11"/>
      <scheme val="minor"/>
    </font>
    <font>
      <name val="Arial"/>
      <b val="1"/>
      <sz val="14"/>
    </font>
    <font>
      <name val="Arial"/>
      <sz val="10"/>
    </font>
    <font>
      <name val="Arial"/>
      <b val="1"/>
    </font>
    <font>
      <name val="Arial"/>
      <i val="1"/>
      <sz val="10"/>
    </font>
    <font>
      <name val="Arial"/>
      <b val="1"/>
      <color rgb="00FFFFFF"/>
    </font>
    <font>
      <name val="Arial"/>
      <color rgb="000000FF"/>
      <sz val="10"/>
    </font>
  </fonts>
  <fills count="4">
    <fill>
      <patternFill/>
    </fill>
    <fill>
      <patternFill patternType="gray125"/>
    </fill>
    <fill>
      <patternFill patternType="solid">
        <fgColor rgb="001F3A5F"/>
      </patternFill>
    </fill>
    <fill>
      <patternFill patternType="solid">
        <fgColor rgb="00FFF2C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9">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5" fillId="2" borderId="1" applyAlignment="1" pivotButton="0" quotePrefix="0" xfId="0">
      <alignment vertical="center" wrapText="1"/>
    </xf>
    <xf numFmtId="0" fontId="2" fillId="0" borderId="1" applyAlignment="1" pivotButton="0" quotePrefix="0" xfId="0">
      <alignment vertical="top" wrapText="1"/>
    </xf>
    <xf numFmtId="164" fontId="6" fillId="0" borderId="1" applyAlignment="1" pivotButton="0" quotePrefix="0" xfId="0">
      <alignment vertical="top"/>
    </xf>
    <xf numFmtId="0" fontId="2" fillId="3" borderId="1" applyAlignment="1" pivotButton="0" quotePrefix="0" xfId="0">
      <alignment vertical="top" wrapText="1"/>
    </xf>
    <xf numFmtId="164" fontId="2" fillId="3" borderId="1" applyAlignment="1" pivotButton="0" quotePrefix="0" xfId="0">
      <alignment vertical="top" wrapText="1"/>
    </xf>
    <xf numFmtId="164" fontId="2" fillId="0" borderId="1" applyAlignment="1" pivotButton="0" quotePrefix="0" xfId="0">
      <alignment vertical="top"/>
    </xf>
    <xf numFmtId="10" fontId="6" fillId="0" borderId="1" applyAlignment="1" pivotButton="0" quotePrefix="0" xfId="0">
      <alignment vertical="top"/>
    </xf>
    <xf numFmtId="10" fontId="2" fillId="3" borderId="1" applyAlignment="1" pivotButton="0" quotePrefix="0" xfId="0">
      <alignment vertical="top" wrapText="1"/>
    </xf>
    <xf numFmtId="10" fontId="2" fillId="0" borderId="1" applyAlignment="1" pivotButton="0" quotePrefix="0" xfId="0">
      <alignment vertical="top"/>
    </xf>
    <xf numFmtId="0" fontId="6" fillId="0" borderId="1" applyAlignment="1" pivotButton="0" quotePrefix="0" xfId="0">
      <alignment vertical="top"/>
    </xf>
    <xf numFmtId="0" fontId="2" fillId="0" borderId="1" applyAlignment="1" pivotButton="0" quotePrefix="0" xfId="0">
      <alignment vertical="top"/>
    </xf>
    <xf numFmtId="0" fontId="3" fillId="0" borderId="0" pivotButton="0" quotePrefix="0" xfId="0"/>
    <xf numFmtId="0" fontId="2" fillId="0" borderId="0" pivotButton="0" quotePrefix="0" xfId="0"/>
    <xf numFmtId="0" fontId="6"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D4ED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LumiaMed</author>
  </authors>
  <commentList>
    <comment ref="E2" authorId="0" shapeId="0">
      <text>
        <t>Le note segnalano i punti dove le fonti pubbliche non concordano.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LumiaMed — verifica dei calcoli fiscali</t>
        </is>
      </c>
    </row>
    <row r="2">
      <c r="A2" s="2" t="inlineStr"/>
    </row>
    <row r="3">
      <c r="A3" s="2" t="inlineStr">
        <is>
          <t>Gentile dottore/dottoressa commercialista,</t>
        </is>
      </c>
    </row>
    <row r="4">
      <c r="A4" s="2" t="inlineStr">
        <is>
          <t>questo file contiene i casi di prova del motore di calcolo dell'app LumiaMed (gestione finanziaria per medici liberi professionisti).</t>
        </is>
      </c>
    </row>
    <row r="5">
      <c r="A5" s="2" t="inlineStr">
        <is>
          <t>Le chiediamo di verificare se i valori calcolati dall'app sono corretti.</t>
        </is>
      </c>
    </row>
    <row r="6">
      <c r="A6" s="2" t="inlineStr"/>
    </row>
    <row r="7">
      <c r="A7" s="3" t="inlineStr">
        <is>
          <t>Come compilare (solo le celle GIALLE):</t>
        </is>
      </c>
    </row>
    <row r="8">
      <c r="A8" s="2" t="inlineStr">
        <is>
          <t>1. Foglio 'Casi di prova': per ogni riga scelga 'Sì' o 'No' nella colonna 'Corretto?'.</t>
        </is>
      </c>
    </row>
    <row r="9">
      <c r="A9" s="2" t="inlineStr">
        <is>
          <t>2. Se è 'No', scriva il valore giusto in 'Valore corretto' e il motivo in 'Note'. La colonna 'Differenza' si calcola da sola.</t>
        </is>
      </c>
    </row>
    <row r="10">
      <c r="A10" s="2" t="inlineStr">
        <is>
          <t>3. Foglio 'Parametri': confermi o corregga i parametri normativi usati dall'app (in particolare quelli 'da verificare').</t>
        </is>
      </c>
    </row>
    <row r="11">
      <c r="A11" s="2" t="inlineStr"/>
    </row>
    <row r="12">
      <c r="A12" s="3" t="inlineStr">
        <is>
          <t>Note importanti:</t>
        </is>
      </c>
    </row>
    <row r="13">
      <c r="A13" s="2" t="inlineStr">
        <is>
          <t>• Tutti i calcoli seguono il principio di cassa (ricavi incassati e spese pagate nell'anno).</t>
        </is>
      </c>
    </row>
    <row r="14">
      <c r="A14" s="2" t="inlineStr">
        <is>
          <t>• Le addizionali dei casi 'Ordinario' usano tabelle DI PROVA (non quelle reali di un comune): serve verificare il metodo di calcolo.</t>
        </is>
      </c>
    </row>
    <row r="15">
      <c r="A15" s="2" t="inlineStr">
        <is>
          <t>• Quota A ENPAM: l'app applica la fascia d'età superiore dal mese successivo al compleanno (pro-rata mensile).</t>
        </is>
      </c>
    </row>
    <row r="16">
      <c r="A16" s="2" t="inlineStr">
        <is>
          <t>• Quota B ENPAM: base = reddito libero-professionale (forfettario: ricavi × 78%, rigo LM34; ordinario: compensi − spese), meno la soglia già coperta dalla Quota A.</t>
        </is>
      </c>
    </row>
    <row r="17">
      <c r="A17" s="2" t="inlineStr">
        <is>
          <t>• Acconti: metodo storico, soggetti ISA/forfettari in due rate da 50%.</t>
        </is>
      </c>
    </row>
    <row r="18">
      <c r="A18" s="2" t="inlineStr">
        <is>
          <t>• Bollo da 2 € riaddebitato al paziente: l'app ora lo ESCLUDE dal reddito (D.Lgs. 192/2024). Da confermare.</t>
        </is>
      </c>
    </row>
    <row r="19">
      <c r="A19" s="2" t="inlineStr"/>
    </row>
    <row r="20">
      <c r="A20" s="4" t="inlineStr">
        <is>
          <t>Esempio di compilazione: riga con valore errato → Corretto? = No; Valore corretto = 1.450,00; Note = 'manca 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7"/>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42" customWidth="1" min="3" max="3"/>
    <col width="60" customWidth="1" min="4" max="4"/>
    <col width="38" customWidth="1" min="5" max="5"/>
    <col width="18" customWidth="1" min="6" max="6"/>
    <col width="11" customWidth="1" min="7" max="7"/>
    <col width="16" customWidth="1" min="8" max="8"/>
    <col width="14" customWidth="1" min="9" max="9"/>
    <col width="40" customWidth="1" min="10" max="10"/>
  </cols>
  <sheetData>
    <row r="1" ht="32" customHeight="1">
      <c r="A1" s="5" t="inlineStr">
        <is>
          <t>ID</t>
        </is>
      </c>
      <c r="B1" s="5" t="inlineStr">
        <is>
          <t>Area</t>
        </is>
      </c>
      <c r="C1" s="5" t="inlineStr">
        <is>
          <t>Scenario</t>
        </is>
      </c>
      <c r="D1" s="5" t="inlineStr">
        <is>
          <t>Dati di partenza</t>
        </is>
      </c>
      <c r="E1" s="5" t="inlineStr">
        <is>
          <t>Voce</t>
        </is>
      </c>
      <c r="F1" s="5" t="inlineStr">
        <is>
          <t>Valore calcolato dall'app</t>
        </is>
      </c>
      <c r="G1" s="5" t="inlineStr">
        <is>
          <t>Corretto?</t>
        </is>
      </c>
      <c r="H1" s="5" t="inlineStr">
        <is>
          <t>Valore corretto</t>
        </is>
      </c>
      <c r="I1" s="5" t="inlineStr">
        <is>
          <t>Differenza</t>
        </is>
      </c>
      <c r="J1" s="5" t="inlineStr">
        <is>
          <t>Note del commercialista</t>
        </is>
      </c>
    </row>
    <row r="2">
      <c r="A2" s="6" t="inlineStr">
        <is>
          <t>F1</t>
        </is>
      </c>
      <c r="B2" s="6" t="inlineStr">
        <is>
          <t>Forfettario</t>
        </is>
      </c>
      <c r="C2" s="6" t="inlineStr">
        <is>
          <t>Giovane medico al 5° anno con requisiti startup, 40.000 € incassati, 2.500 € di ENPAM versati</t>
        </is>
      </c>
      <c r="D2" s="6" t="inlineStr">
        <is>
          <t>Anno 2026; inizio attività 2022; requisiti 5%: sì; ricavi incassati 40.000,00 €; ENPAM versato nell'anno 2.500,00 €</t>
        </is>
      </c>
      <c r="E2" s="6" t="inlineStr">
        <is>
          <t>Reddito lordo (ricavi × 78%)</t>
        </is>
      </c>
      <c r="F2" s="7" t="n">
        <v>31200</v>
      </c>
      <c r="G2" s="8" t="n"/>
      <c r="H2" s="9" t="n"/>
      <c r="I2" s="10">
        <f>IF(H2="","",H2-F2)</f>
        <v/>
      </c>
      <c r="J2" s="8" t="n"/>
    </row>
    <row r="3">
      <c r="A3" s="6" t="inlineStr">
        <is>
          <t>F1</t>
        </is>
      </c>
      <c r="B3" s="6" t="inlineStr">
        <is>
          <t>Forfettario</t>
        </is>
      </c>
      <c r="C3" s="6" t="inlineStr">
        <is>
          <t>Giovane medico al 5° anno con requisiti startup, 40.000 € incassati, 2.500 € di ENPAM versati</t>
        </is>
      </c>
      <c r="D3" s="6" t="inlineStr">
        <is>
          <t>Anno 2026; inizio attività 2022; requisiti 5%: sì; ricavi incassati 40.000,00 €; ENPAM versato nell'anno 2.500,00 €</t>
        </is>
      </c>
      <c r="E3" s="6" t="inlineStr">
        <is>
          <t>Imponibile (dopo contributi)</t>
        </is>
      </c>
      <c r="F3" s="7" t="n">
        <v>28700</v>
      </c>
      <c r="G3" s="8" t="n"/>
      <c r="H3" s="9" t="n"/>
      <c r="I3" s="10">
        <f>IF(H3="","",H3-F3)</f>
        <v/>
      </c>
      <c r="J3" s="8" t="n"/>
    </row>
    <row r="4">
      <c r="A4" s="6" t="inlineStr">
        <is>
          <t>F1</t>
        </is>
      </c>
      <c r="B4" s="6" t="inlineStr">
        <is>
          <t>Forfettario</t>
        </is>
      </c>
      <c r="C4" s="6" t="inlineStr">
        <is>
          <t>Giovane medico al 5° anno con requisiti startup, 40.000 € incassati, 2.500 € di ENPAM versati</t>
        </is>
      </c>
      <c r="D4" s="6" t="inlineStr">
        <is>
          <t>Anno 2026; inizio attività 2022; requisiti 5%: sì; ricavi incassati 40.000,00 €; ENPAM versato nell'anno 2.500,00 €</t>
        </is>
      </c>
      <c r="E4" s="6" t="inlineStr">
        <is>
          <t>Aliquota imposta sostitutiva</t>
        </is>
      </c>
      <c r="F4" s="11" t="n">
        <v>0.05</v>
      </c>
      <c r="G4" s="8" t="n"/>
      <c r="H4" s="12" t="n"/>
      <c r="I4" s="13">
        <f>IF(H4="","",H4-F4)</f>
        <v/>
      </c>
      <c r="J4" s="8" t="n"/>
    </row>
    <row r="5">
      <c r="A5" s="6" t="inlineStr">
        <is>
          <t>F1</t>
        </is>
      </c>
      <c r="B5" s="6" t="inlineStr">
        <is>
          <t>Forfettario</t>
        </is>
      </c>
      <c r="C5" s="6" t="inlineStr">
        <is>
          <t>Giovane medico al 5° anno con requisiti startup, 40.000 € incassati, 2.500 € di ENPAM versati</t>
        </is>
      </c>
      <c r="D5" s="6" t="inlineStr">
        <is>
          <t>Anno 2026; inizio attività 2022; requisiti 5%: sì; ricavi incassati 40.000,00 €; ENPAM versato nell'anno 2.500,00 €</t>
        </is>
      </c>
      <c r="E5" s="6" t="inlineStr">
        <is>
          <t>Imposta sostitutiva</t>
        </is>
      </c>
      <c r="F5" s="7" t="n">
        <v>1435</v>
      </c>
      <c r="G5" s="8" t="n"/>
      <c r="H5" s="9" t="n"/>
      <c r="I5" s="10">
        <f>IF(H5="","",H5-F5)</f>
        <v/>
      </c>
      <c r="J5" s="8" t="n"/>
    </row>
    <row r="6">
      <c r="A6" s="6" t="inlineStr">
        <is>
          <t>F2</t>
        </is>
      </c>
      <c r="B6" s="6" t="inlineStr">
        <is>
          <t>Forfettario</t>
        </is>
      </c>
      <c r="C6" s="6" t="inlineStr">
        <is>
          <t>Medico al 6° anno (aliquota 15%), 60.000 € incassati, 4.000 € di ENPAM versati</t>
        </is>
      </c>
      <c r="D6" s="6" t="inlineStr">
        <is>
          <t>Anno 2026; inizio attività 2021; requisiti 5%: sì; ricavi incassati 60.000,00 €; ENPAM versato nell'anno 4.000,00 €</t>
        </is>
      </c>
      <c r="E6" s="6" t="inlineStr">
        <is>
          <t>Reddito lordo (ricavi × 78%)</t>
        </is>
      </c>
      <c r="F6" s="7" t="n">
        <v>46800</v>
      </c>
      <c r="G6" s="8" t="n"/>
      <c r="H6" s="9" t="n"/>
      <c r="I6" s="10">
        <f>IF(H6="","",H6-F6)</f>
        <v/>
      </c>
      <c r="J6" s="8" t="n"/>
    </row>
    <row r="7">
      <c r="A7" s="6" t="inlineStr">
        <is>
          <t>F2</t>
        </is>
      </c>
      <c r="B7" s="6" t="inlineStr">
        <is>
          <t>Forfettario</t>
        </is>
      </c>
      <c r="C7" s="6" t="inlineStr">
        <is>
          <t>Medico al 6° anno (aliquota 15%), 60.000 € incassati, 4.000 € di ENPAM versati</t>
        </is>
      </c>
      <c r="D7" s="6" t="inlineStr">
        <is>
          <t>Anno 2026; inizio attività 2021; requisiti 5%: sì; ricavi incassati 60.000,00 €; ENPAM versato nell'anno 4.000,00 €</t>
        </is>
      </c>
      <c r="E7" s="6" t="inlineStr">
        <is>
          <t>Imponibile (dopo contributi)</t>
        </is>
      </c>
      <c r="F7" s="7" t="n">
        <v>42800</v>
      </c>
      <c r="G7" s="8" t="n"/>
      <c r="H7" s="9" t="n"/>
      <c r="I7" s="10">
        <f>IF(H7="","",H7-F7)</f>
        <v/>
      </c>
      <c r="J7" s="8" t="n"/>
    </row>
    <row r="8">
      <c r="A8" s="6" t="inlineStr">
        <is>
          <t>F2</t>
        </is>
      </c>
      <c r="B8" s="6" t="inlineStr">
        <is>
          <t>Forfettario</t>
        </is>
      </c>
      <c r="C8" s="6" t="inlineStr">
        <is>
          <t>Medico al 6° anno (aliquota 15%), 60.000 € incassati, 4.000 € di ENPAM versati</t>
        </is>
      </c>
      <c r="D8" s="6" t="inlineStr">
        <is>
          <t>Anno 2026; inizio attività 2021; requisiti 5%: sì; ricavi incassati 60.000,00 €; ENPAM versato nell'anno 4.000,00 €</t>
        </is>
      </c>
      <c r="E8" s="6" t="inlineStr">
        <is>
          <t>Aliquota imposta sostitutiva</t>
        </is>
      </c>
      <c r="F8" s="11" t="n">
        <v>0.15</v>
      </c>
      <c r="G8" s="8" t="n"/>
      <c r="H8" s="12" t="n"/>
      <c r="I8" s="13">
        <f>IF(H8="","",H8-F8)</f>
        <v/>
      </c>
      <c r="J8" s="8" t="n"/>
    </row>
    <row r="9">
      <c r="A9" s="6" t="inlineStr">
        <is>
          <t>F2</t>
        </is>
      </c>
      <c r="B9" s="6" t="inlineStr">
        <is>
          <t>Forfettario</t>
        </is>
      </c>
      <c r="C9" s="6" t="inlineStr">
        <is>
          <t>Medico al 6° anno (aliquota 15%), 60.000 € incassati, 4.000 € di ENPAM versati</t>
        </is>
      </c>
      <c r="D9" s="6" t="inlineStr">
        <is>
          <t>Anno 2026; inizio attività 2021; requisiti 5%: sì; ricavi incassati 60.000,00 €; ENPAM versato nell'anno 4.000,00 €</t>
        </is>
      </c>
      <c r="E9" s="6" t="inlineStr">
        <is>
          <t>Imposta sostitutiva</t>
        </is>
      </c>
      <c r="F9" s="7" t="n">
        <v>6420</v>
      </c>
      <c r="G9" s="8" t="n"/>
      <c r="H9" s="9" t="n"/>
      <c r="I9" s="10">
        <f>IF(H9="","",H9-F9)</f>
        <v/>
      </c>
      <c r="J9" s="8" t="n"/>
    </row>
    <row r="10">
      <c r="A10" s="6" t="inlineStr">
        <is>
          <t>F3</t>
        </is>
      </c>
      <c r="B10" s="6" t="inlineStr">
        <is>
          <t>Forfettario</t>
        </is>
      </c>
      <c r="C10" s="6" t="inlineStr">
        <is>
          <t>Primo anno senza requisiti startup (15%), 25.000 € incassati, nessun contributo versato</t>
        </is>
      </c>
      <c r="D10" s="6" t="inlineStr">
        <is>
          <t>Anno 2026; inizio attività 2026; requisiti 5%: no; ricavi incassati 25.000,00 €; ENPAM versato nell'anno 0,00 €</t>
        </is>
      </c>
      <c r="E10" s="6" t="inlineStr">
        <is>
          <t>Reddito lordo (ricavi × 78%)</t>
        </is>
      </c>
      <c r="F10" s="7" t="n">
        <v>19500</v>
      </c>
      <c r="G10" s="8" t="n"/>
      <c r="H10" s="9" t="n"/>
      <c r="I10" s="10">
        <f>IF(H10="","",H10-F10)</f>
        <v/>
      </c>
      <c r="J10" s="8" t="n"/>
    </row>
    <row r="11">
      <c r="A11" s="6" t="inlineStr">
        <is>
          <t>F3</t>
        </is>
      </c>
      <c r="B11" s="6" t="inlineStr">
        <is>
          <t>Forfettario</t>
        </is>
      </c>
      <c r="C11" s="6" t="inlineStr">
        <is>
          <t>Primo anno senza requisiti startup (15%), 25.000 € incassati, nessun contributo versato</t>
        </is>
      </c>
      <c r="D11" s="6" t="inlineStr">
        <is>
          <t>Anno 2026; inizio attività 2026; requisiti 5%: no; ricavi incassati 25.000,00 €; ENPAM versato nell'anno 0,00 €</t>
        </is>
      </c>
      <c r="E11" s="6" t="inlineStr">
        <is>
          <t>Imponibile (dopo contributi)</t>
        </is>
      </c>
      <c r="F11" s="7" t="n">
        <v>19500</v>
      </c>
      <c r="G11" s="8" t="n"/>
      <c r="H11" s="9" t="n"/>
      <c r="I11" s="10">
        <f>IF(H11="","",H11-F11)</f>
        <v/>
      </c>
      <c r="J11" s="8" t="n"/>
    </row>
    <row r="12">
      <c r="A12" s="6" t="inlineStr">
        <is>
          <t>F3</t>
        </is>
      </c>
      <c r="B12" s="6" t="inlineStr">
        <is>
          <t>Forfettario</t>
        </is>
      </c>
      <c r="C12" s="6" t="inlineStr">
        <is>
          <t>Primo anno senza requisiti startup (15%), 25.000 € incassati, nessun contributo versato</t>
        </is>
      </c>
      <c r="D12" s="6" t="inlineStr">
        <is>
          <t>Anno 2026; inizio attività 2026; requisiti 5%: no; ricavi incassati 25.000,00 €; ENPAM versato nell'anno 0,00 €</t>
        </is>
      </c>
      <c r="E12" s="6" t="inlineStr">
        <is>
          <t>Aliquota imposta sostitutiva</t>
        </is>
      </c>
      <c r="F12" s="11" t="n">
        <v>0.15</v>
      </c>
      <c r="G12" s="8" t="n"/>
      <c r="H12" s="12" t="n"/>
      <c r="I12" s="13">
        <f>IF(H12="","",H12-F12)</f>
        <v/>
      </c>
      <c r="J12" s="8" t="n"/>
    </row>
    <row r="13">
      <c r="A13" s="6" t="inlineStr">
        <is>
          <t>F3</t>
        </is>
      </c>
      <c r="B13" s="6" t="inlineStr">
        <is>
          <t>Forfettario</t>
        </is>
      </c>
      <c r="C13" s="6" t="inlineStr">
        <is>
          <t>Primo anno senza requisiti startup (15%), 25.000 € incassati, nessun contributo versato</t>
        </is>
      </c>
      <c r="D13" s="6" t="inlineStr">
        <is>
          <t>Anno 2026; inizio attività 2026; requisiti 5%: no; ricavi incassati 25.000,00 €; ENPAM versato nell'anno 0,00 €</t>
        </is>
      </c>
      <c r="E13" s="6" t="inlineStr">
        <is>
          <t>Imposta sostitutiva</t>
        </is>
      </c>
      <c r="F13" s="7" t="n">
        <v>2925</v>
      </c>
      <c r="G13" s="8" t="n"/>
      <c r="H13" s="9" t="n"/>
      <c r="I13" s="10">
        <f>IF(H13="","",H13-F13)</f>
        <v/>
      </c>
      <c r="J13" s="8" t="n"/>
    </row>
    <row r="14">
      <c r="A14" s="6" t="inlineStr">
        <is>
          <t>F4</t>
        </is>
      </c>
      <c r="B14" s="6" t="inlineStr">
        <is>
          <t>Forfettario</t>
        </is>
      </c>
      <c r="C14" s="6" t="inlineStr">
        <is>
          <t>Contributi superiori al reddito: 5.000 € incassati, 5.000 € di ENPAM versati</t>
        </is>
      </c>
      <c r="D14" s="6" t="inlineStr">
        <is>
          <t>Anno 2026; inizio attività 2025; requisiti 5%: sì; ricavi incassati 5.000,00 €; ENPAM versato nell'anno 5.000,00 €</t>
        </is>
      </c>
      <c r="E14" s="6" t="inlineStr">
        <is>
          <t>Reddito lordo (ricavi × 78%)</t>
        </is>
      </c>
      <c r="F14" s="7" t="n">
        <v>3900</v>
      </c>
      <c r="G14" s="8" t="n"/>
      <c r="H14" s="9" t="n"/>
      <c r="I14" s="10">
        <f>IF(H14="","",H14-F14)</f>
        <v/>
      </c>
      <c r="J14" s="8" t="n"/>
    </row>
    <row r="15">
      <c r="A15" s="6" t="inlineStr">
        <is>
          <t>F4</t>
        </is>
      </c>
      <c r="B15" s="6" t="inlineStr">
        <is>
          <t>Forfettario</t>
        </is>
      </c>
      <c r="C15" s="6" t="inlineStr">
        <is>
          <t>Contributi superiori al reddito: 5.000 € incassati, 5.000 € di ENPAM versati</t>
        </is>
      </c>
      <c r="D15" s="6" t="inlineStr">
        <is>
          <t>Anno 2026; inizio attività 2025; requisiti 5%: sì; ricavi incassati 5.000,00 €; ENPAM versato nell'anno 5.000,00 €</t>
        </is>
      </c>
      <c r="E15" s="6" t="inlineStr">
        <is>
          <t>Imponibile (dopo contributi)</t>
        </is>
      </c>
      <c r="F15" s="7" t="n">
        <v>0</v>
      </c>
      <c r="G15" s="8" t="n"/>
      <c r="H15" s="9" t="n"/>
      <c r="I15" s="10">
        <f>IF(H15="","",H15-F15)</f>
        <v/>
      </c>
      <c r="J15" s="8" t="n"/>
    </row>
    <row r="16">
      <c r="A16" s="6" t="inlineStr">
        <is>
          <t>F4</t>
        </is>
      </c>
      <c r="B16" s="6" t="inlineStr">
        <is>
          <t>Forfettario</t>
        </is>
      </c>
      <c r="C16" s="6" t="inlineStr">
        <is>
          <t>Contributi superiori al reddito: 5.000 € incassati, 5.000 € di ENPAM versati</t>
        </is>
      </c>
      <c r="D16" s="6" t="inlineStr">
        <is>
          <t>Anno 2026; inizio attività 2025; requisiti 5%: sì; ricavi incassati 5.000,00 €; ENPAM versato nell'anno 5.000,00 €</t>
        </is>
      </c>
      <c r="E16" s="6" t="inlineStr">
        <is>
          <t>Aliquota imposta sostitutiva</t>
        </is>
      </c>
      <c r="F16" s="11" t="n">
        <v>0.05</v>
      </c>
      <c r="G16" s="8" t="n"/>
      <c r="H16" s="12" t="n"/>
      <c r="I16" s="13">
        <f>IF(H16="","",H16-F16)</f>
        <v/>
      </c>
      <c r="J16" s="8" t="n"/>
    </row>
    <row r="17">
      <c r="A17" s="6" t="inlineStr">
        <is>
          <t>F4</t>
        </is>
      </c>
      <c r="B17" s="6" t="inlineStr">
        <is>
          <t>Forfettario</t>
        </is>
      </c>
      <c r="C17" s="6" t="inlineStr">
        <is>
          <t>Contributi superiori al reddito: 5.000 € incassati, 5.000 € di ENPAM versati</t>
        </is>
      </c>
      <c r="D17" s="6" t="inlineStr">
        <is>
          <t>Anno 2026; inizio attività 2025; requisiti 5%: sì; ricavi incassati 5.000,00 €; ENPAM versato nell'anno 5.000,00 €</t>
        </is>
      </c>
      <c r="E17" s="6" t="inlineStr">
        <is>
          <t>Imposta sostitutiva</t>
        </is>
      </c>
      <c r="F17" s="7" t="n">
        <v>0</v>
      </c>
      <c r="G17" s="8" t="n"/>
      <c r="H17" s="9" t="n"/>
      <c r="I17" s="10">
        <f>IF(H17="","",H17-F17)</f>
        <v/>
      </c>
      <c r="J17" s="8" t="n"/>
    </row>
    <row r="18">
      <c r="A18" s="6" t="inlineStr">
        <is>
          <t>O1</t>
        </is>
      </c>
      <c r="B18" s="6" t="inlineStr">
        <is>
          <t>Ordinario</t>
        </is>
      </c>
      <c r="C18" s="6" t="inlineStr">
        <is>
          <t>Specialista con 70.000 € di compensi; affitto 6.000, telefono 1.000 (80%), ristoranti 2.000 (75% ma max 2% dei compensi); ENPAM versato 8.000</t>
        </is>
      </c>
      <c r="D18" s="6" t="inlineStr">
        <is>
          <t>Compensi 70.000,00 €; spese: affitto_studio 6.000,00 €, telefono_internet 1.000,00 €, ristoranti_alberghi 2.000,00 €; ENPAM versato 8.000,00 €; ritenute subite 0,00 €. Addizionali calcolate con tabelle DI PROVA: regionale 1,73%/2,73%/2,93%/3,33% (scaglioni 15k/28k/50k), comunale 0,8% con esenzione fino a 10.000 €.</t>
        </is>
      </c>
      <c r="E18" s="6" t="inlineStr">
        <is>
          <t>Spese deducibili</t>
        </is>
      </c>
      <c r="F18" s="7" t="n">
        <v>8200</v>
      </c>
      <c r="G18" s="8" t="n"/>
      <c r="H18" s="9" t="n"/>
      <c r="I18" s="10">
        <f>IF(H18="","",H18-F18)</f>
        <v/>
      </c>
      <c r="J18" s="8" t="n"/>
    </row>
    <row r="19">
      <c r="A19" s="6" t="inlineStr">
        <is>
          <t>O1</t>
        </is>
      </c>
      <c r="B19" s="6" t="inlineStr">
        <is>
          <t>Ordinario</t>
        </is>
      </c>
      <c r="C19" s="6" t="inlineStr">
        <is>
          <t>Specialista con 70.000 € di compensi; affitto 6.000, telefono 1.000 (80%), ristoranti 2.000 (75% ma max 2% dei compensi); ENPAM versato 8.000</t>
        </is>
      </c>
      <c r="D19" s="6" t="inlineStr">
        <is>
          <t>Compensi 70.000,00 €; spese: affitto_studio 6.000,00 €, telefono_internet 1.000,00 €, ristoranti_alberghi 2.000,00 €; ENPAM versato 8.000,00 €; ritenute subite 0,00 €. Addizionali calcolate con tabelle DI PROVA: regionale 1,73%/2,73%/2,93%/3,33% (scaglioni 15k/28k/50k), comunale 0,8% con esenzione fino a 10.000 €.</t>
        </is>
      </c>
      <c r="E19" s="6" t="inlineStr">
        <is>
          <t>Reddito professionale</t>
        </is>
      </c>
      <c r="F19" s="7" t="n">
        <v>61800</v>
      </c>
      <c r="G19" s="8" t="n"/>
      <c r="H19" s="9" t="n"/>
      <c r="I19" s="10">
        <f>IF(H19="","",H19-F19)</f>
        <v/>
      </c>
      <c r="J19" s="8" t="n"/>
    </row>
    <row r="20">
      <c r="A20" s="6" t="inlineStr">
        <is>
          <t>O1</t>
        </is>
      </c>
      <c r="B20" s="6" t="inlineStr">
        <is>
          <t>Ordinario</t>
        </is>
      </c>
      <c r="C20" s="6" t="inlineStr">
        <is>
          <t>Specialista con 70.000 € di compensi; affitto 6.000, telefono 1.000 (80%), ristoranti 2.000 (75% ma max 2% dei compensi); ENPAM versato 8.000</t>
        </is>
      </c>
      <c r="D20" s="6" t="inlineStr">
        <is>
          <t>Compensi 70.000,00 €; spese: affitto_studio 6.000,00 €, telefono_internet 1.000,00 €, ristoranti_alberghi 2.000,00 €; ENPAM versato 8.000,00 €; ritenute subite 0,00 €. Addizionali calcolate con tabelle DI PROVA: regionale 1,73%/2,73%/2,93%/3,33% (scaglioni 15k/28k/50k), comunale 0,8% con esenzione fino a 10.000 €.</t>
        </is>
      </c>
      <c r="E20" s="6" t="inlineStr">
        <is>
          <t>Reddito imponibile IRPEF</t>
        </is>
      </c>
      <c r="F20" s="7" t="n">
        <v>53800</v>
      </c>
      <c r="G20" s="8" t="n"/>
      <c r="H20" s="9" t="n"/>
      <c r="I20" s="10">
        <f>IF(H20="","",H20-F20)</f>
        <v/>
      </c>
      <c r="J20" s="8" t="n"/>
    </row>
    <row r="21">
      <c r="A21" s="6" t="inlineStr">
        <is>
          <t>O1</t>
        </is>
      </c>
      <c r="B21" s="6" t="inlineStr">
        <is>
          <t>Ordinario</t>
        </is>
      </c>
      <c r="C21" s="6" t="inlineStr">
        <is>
          <t>Specialista con 70.000 € di compensi; affitto 6.000, telefono 1.000 (80%), ristoranti 2.000 (75% ma max 2% dei compensi); ENPAM versato 8.000</t>
        </is>
      </c>
      <c r="D21" s="6" t="inlineStr">
        <is>
          <t>Compensi 70.000,00 €; spese: affitto_studio 6.000,00 €, telefono_internet 1.000,00 €, ristoranti_alberghi 2.000,00 €; ENPAM versato 8.000,00 €; ritenute subite 0,00 €. Addizionali calcolate con tabelle DI PROVA: regionale 1,73%/2,73%/2,93%/3,33% (scaglioni 15k/28k/50k), comunale 0,8% con esenzione fino a 10.000 €.</t>
        </is>
      </c>
      <c r="E21" s="6" t="inlineStr">
        <is>
          <t>IRPEF lorda</t>
        </is>
      </c>
      <c r="F21" s="7" t="n">
        <v>15334</v>
      </c>
      <c r="G21" s="8" t="n"/>
      <c r="H21" s="9" t="n"/>
      <c r="I21" s="10">
        <f>IF(H21="","",H21-F21)</f>
        <v/>
      </c>
      <c r="J21" s="8" t="n"/>
    </row>
    <row r="22">
      <c r="A22" s="6" t="inlineStr">
        <is>
          <t>O1</t>
        </is>
      </c>
      <c r="B22" s="6" t="inlineStr">
        <is>
          <t>Ordinario</t>
        </is>
      </c>
      <c r="C22" s="6" t="inlineStr">
        <is>
          <t>Specialista con 70.000 € di compensi; affitto 6.000, telefono 1.000 (80%), ristoranti 2.000 (75% ma max 2% dei compensi); ENPAM versato 8.000</t>
        </is>
      </c>
      <c r="D22" s="6" t="inlineStr">
        <is>
          <t>Compensi 70.000,00 €; spese: affitto_studio 6.000,00 €, telefono_internet 1.000,00 €, ristoranti_alberghi 2.000,00 €; ENPAM versato 8.000,00 €; ritenute subite 0,00 €. Addizionali calcolate con tabelle DI PROVA: regionale 1,73%/2,73%/2,93%/3,33% (scaglioni 15k/28k/50k), comunale 0,8% con esenzione fino a 10.000 €.</t>
        </is>
      </c>
      <c r="E22" s="6" t="inlineStr">
        <is>
          <t>Detrazione lavoro autonomo (art. 13 c. 5 TUIR)</t>
        </is>
      </c>
      <c r="F22" s="7" t="n">
        <v>0</v>
      </c>
      <c r="G22" s="8" t="n"/>
      <c r="H22" s="9" t="n"/>
      <c r="I22" s="10">
        <f>IF(H22="","",H22-F22)</f>
        <v/>
      </c>
      <c r="J22" s="8" t="n"/>
    </row>
    <row r="23">
      <c r="A23" s="6" t="inlineStr">
        <is>
          <t>O1</t>
        </is>
      </c>
      <c r="B23" s="6" t="inlineStr">
        <is>
          <t>Ordinario</t>
        </is>
      </c>
      <c r="C23" s="6" t="inlineStr">
        <is>
          <t>Specialista con 70.000 € di compensi; affitto 6.000, telefono 1.000 (80%), ristoranti 2.000 (75% ma max 2% dei compensi); ENPAM versato 8.000</t>
        </is>
      </c>
      <c r="D23" s="6" t="inlineStr">
        <is>
          <t>Compensi 70.000,00 €; spese: affitto_studio 6.000,00 €, telefono_internet 1.000,00 €, ristoranti_alberghi 2.000,00 €; ENPAM versato 8.000,00 €; ritenute subite 0,00 €. Addizionali calcolate con tabelle DI PROVA: regionale 1,73%/2,73%/2,93%/3,33% (scaglioni 15k/28k/50k), comunale 0,8% con esenzione fino a 10.000 €.</t>
        </is>
      </c>
      <c r="E23" s="6" t="inlineStr">
        <is>
          <t>IRPEF netta</t>
        </is>
      </c>
      <c r="F23" s="7" t="n">
        <v>15334</v>
      </c>
      <c r="G23" s="8" t="n"/>
      <c r="H23" s="9" t="n"/>
      <c r="I23" s="10">
        <f>IF(H23="","",H23-F23)</f>
        <v/>
      </c>
      <c r="J23" s="8" t="n"/>
    </row>
    <row r="24">
      <c r="A24" s="6" t="inlineStr">
        <is>
          <t>O1</t>
        </is>
      </c>
      <c r="B24" s="6" t="inlineStr">
        <is>
          <t>Ordinario</t>
        </is>
      </c>
      <c r="C24" s="6" t="inlineStr">
        <is>
          <t>Specialista con 70.000 € di compensi; affitto 6.000, telefono 1.000 (80%), ristoranti 2.000 (75% ma max 2% dei compensi); ENPAM versato 8.000</t>
        </is>
      </c>
      <c r="D24" s="6" t="inlineStr">
        <is>
          <t>Compensi 70.000,00 €; spese: affitto_studio 6.000,00 €, telefono_internet 1.000,00 €, ristoranti_alberghi 2.000,00 €; ENPAM versato 8.000,00 €; ritenute subite 0,00 €. Addizionali calcolate con tabelle DI PROVA: regionale 1,73%/2,73%/2,93%/3,33% (scaglioni 15k/28k/50k), comunale 0,8% con esenzione fino a 10.000 €.</t>
        </is>
      </c>
      <c r="E24" s="6" t="inlineStr">
        <is>
          <t>Addizionale regionale (tabella di prova)</t>
        </is>
      </c>
      <c r="F24" s="7" t="n">
        <v>1385.54</v>
      </c>
      <c r="G24" s="8" t="n"/>
      <c r="H24" s="9" t="n"/>
      <c r="I24" s="10">
        <f>IF(H24="","",H24-F24)</f>
        <v/>
      </c>
      <c r="J24" s="8" t="n"/>
    </row>
    <row r="25">
      <c r="A25" s="6" t="inlineStr">
        <is>
          <t>O1</t>
        </is>
      </c>
      <c r="B25" s="6" t="inlineStr">
        <is>
          <t>Ordinario</t>
        </is>
      </c>
      <c r="C25" s="6" t="inlineStr">
        <is>
          <t>Specialista con 70.000 € di compensi; affitto 6.000, telefono 1.000 (80%), ristoranti 2.000 (75% ma max 2% dei compensi); ENPAM versato 8.000</t>
        </is>
      </c>
      <c r="D25" s="6" t="inlineStr">
        <is>
          <t>Compensi 70.000,00 €; spese: affitto_studio 6.000,00 €, telefono_internet 1.000,00 €, ristoranti_alberghi 2.000,00 €; ENPAM versato 8.000,00 €; ritenute subite 0,00 €. Addizionali calcolate con tabelle DI PROVA: regionale 1,73%/2,73%/2,93%/3,33% (scaglioni 15k/28k/50k), comunale 0,8% con esenzione fino a 10.000 €.</t>
        </is>
      </c>
      <c r="E25" s="6" t="inlineStr">
        <is>
          <t>Addizionale comunale (tabella di prova)</t>
        </is>
      </c>
      <c r="F25" s="7" t="n">
        <v>430.4</v>
      </c>
      <c r="G25" s="8" t="n"/>
      <c r="H25" s="9" t="n"/>
      <c r="I25" s="10">
        <f>IF(H25="","",H25-F25)</f>
        <v/>
      </c>
      <c r="J25" s="8" t="n"/>
    </row>
    <row r="26">
      <c r="A26" s="6" t="inlineStr">
        <is>
          <t>O2</t>
        </is>
      </c>
      <c r="B26" s="6" t="inlineStr">
        <is>
          <t>Ordinario</t>
        </is>
      </c>
      <c r="C26" s="6" t="inlineStr">
        <is>
          <t>Medico con 30.000 € di compensi, 4.000 € di materiale sanitario, 6.000 € di ENPAM versato, 2.000 € di ritenute subite</t>
        </is>
      </c>
      <c r="D26" s="6" t="inlineStr">
        <is>
          <t>Compensi 30.000,00 €; spese: materiale_sanitario 4.000,00 €; ENPAM versato 6.000,00 €; ritenute subite 2.000,00 €. Addizionali calcolate con tabelle DI PROVA: regionale 1,73%/2,73%/2,93%/3,33% (scaglioni 15k/28k/50k), comunale 0,8% con esenzione fino a 10.000 €.</t>
        </is>
      </c>
      <c r="E26" s="6" t="inlineStr">
        <is>
          <t>Spese deducibili</t>
        </is>
      </c>
      <c r="F26" s="7" t="n">
        <v>4000</v>
      </c>
      <c r="G26" s="8" t="n"/>
      <c r="H26" s="9" t="n"/>
      <c r="I26" s="10">
        <f>IF(H26="","",H26-F26)</f>
        <v/>
      </c>
      <c r="J26" s="8" t="n"/>
    </row>
    <row r="27">
      <c r="A27" s="6" t="inlineStr">
        <is>
          <t>O2</t>
        </is>
      </c>
      <c r="B27" s="6" t="inlineStr">
        <is>
          <t>Ordinario</t>
        </is>
      </c>
      <c r="C27" s="6" t="inlineStr">
        <is>
          <t>Medico con 30.000 € di compensi, 4.000 € di materiale sanitario, 6.000 € di ENPAM versato, 2.000 € di ritenute subite</t>
        </is>
      </c>
      <c r="D27" s="6" t="inlineStr">
        <is>
          <t>Compensi 30.000,00 €; spese: materiale_sanitario 4.000,00 €; ENPAM versato 6.000,00 €; ritenute subite 2.000,00 €. Addizionali calcolate con tabelle DI PROVA: regionale 1,73%/2,73%/2,93%/3,33% (scaglioni 15k/28k/50k), comunale 0,8% con esenzione fino a 10.000 €.</t>
        </is>
      </c>
      <c r="E27" s="6" t="inlineStr">
        <is>
          <t>Reddito professionale</t>
        </is>
      </c>
      <c r="F27" s="7" t="n">
        <v>26000</v>
      </c>
      <c r="G27" s="8" t="n"/>
      <c r="H27" s="9" t="n"/>
      <c r="I27" s="10">
        <f>IF(H27="","",H27-F27)</f>
        <v/>
      </c>
      <c r="J27" s="8" t="n"/>
    </row>
    <row r="28">
      <c r="A28" s="6" t="inlineStr">
        <is>
          <t>O2</t>
        </is>
      </c>
      <c r="B28" s="6" t="inlineStr">
        <is>
          <t>Ordinario</t>
        </is>
      </c>
      <c r="C28" s="6" t="inlineStr">
        <is>
          <t>Medico con 30.000 € di compensi, 4.000 € di materiale sanitario, 6.000 € di ENPAM versato, 2.000 € di ritenute subite</t>
        </is>
      </c>
      <c r="D28" s="6" t="inlineStr">
        <is>
          <t>Compensi 30.000,00 €; spese: materiale_sanitario 4.000,00 €; ENPAM versato 6.000,00 €; ritenute subite 2.000,00 €. Addizionali calcolate con tabelle DI PROVA: regionale 1,73%/2,73%/2,93%/3,33% (scaglioni 15k/28k/50k), comunale 0,8% con esenzione fino a 10.000 €.</t>
        </is>
      </c>
      <c r="E28" s="6" t="inlineStr">
        <is>
          <t>Reddito imponibile IRPEF</t>
        </is>
      </c>
      <c r="F28" s="7" t="n">
        <v>20000</v>
      </c>
      <c r="G28" s="8" t="n"/>
      <c r="H28" s="9" t="n"/>
      <c r="I28" s="10">
        <f>IF(H28="","",H28-F28)</f>
        <v/>
      </c>
      <c r="J28" s="8" t="n"/>
    </row>
    <row r="29">
      <c r="A29" s="6" t="inlineStr">
        <is>
          <t>O2</t>
        </is>
      </c>
      <c r="B29" s="6" t="inlineStr">
        <is>
          <t>Ordinario</t>
        </is>
      </c>
      <c r="C29" s="6" t="inlineStr">
        <is>
          <t>Medico con 30.000 € di compensi, 4.000 € di materiale sanitario, 6.000 € di ENPAM versato, 2.000 € di ritenute subite</t>
        </is>
      </c>
      <c r="D29" s="6" t="inlineStr">
        <is>
          <t>Compensi 30.000,00 €; spese: materiale_sanitario 4.000,00 €; ENPAM versato 6.000,00 €; ritenute subite 2.000,00 €. Addizionali calcolate con tabelle DI PROVA: regionale 1,73%/2,73%/2,93%/3,33% (scaglioni 15k/28k/50k), comunale 0,8% con esenzione fino a 10.000 €.</t>
        </is>
      </c>
      <c r="E29" s="6" t="inlineStr">
        <is>
          <t>IRPEF lorda</t>
        </is>
      </c>
      <c r="F29" s="7" t="n">
        <v>4600</v>
      </c>
      <c r="G29" s="8" t="n"/>
      <c r="H29" s="9" t="n"/>
      <c r="I29" s="10">
        <f>IF(H29="","",H29-F29)</f>
        <v/>
      </c>
      <c r="J29" s="8" t="n"/>
    </row>
    <row r="30">
      <c r="A30" s="6" t="inlineStr">
        <is>
          <t>O2</t>
        </is>
      </c>
      <c r="B30" s="6" t="inlineStr">
        <is>
          <t>Ordinario</t>
        </is>
      </c>
      <c r="C30" s="6" t="inlineStr">
        <is>
          <t>Medico con 30.000 € di compensi, 4.000 € di materiale sanitario, 6.000 € di ENPAM versato, 2.000 € di ritenute subite</t>
        </is>
      </c>
      <c r="D30" s="6" t="inlineStr">
        <is>
          <t>Compensi 30.000,00 €; spese: materiale_sanitario 4.000,00 €; ENPAM versato 6.000,00 €; ritenute subite 2.000,00 €. Addizionali calcolate con tabelle DI PROVA: regionale 1,73%/2,73%/2,93%/3,33% (scaglioni 15k/28k/50k), comunale 0,8% con esenzione fino a 10.000 €.</t>
        </is>
      </c>
      <c r="E30" s="6" t="inlineStr">
        <is>
          <t>Detrazione lavoro autonomo (art. 13 c. 5 TUIR)</t>
        </is>
      </c>
      <c r="F30" s="7" t="n">
        <v>568</v>
      </c>
      <c r="G30" s="8" t="n"/>
      <c r="H30" s="9" t="n"/>
      <c r="I30" s="10">
        <f>IF(H30="","",H30-F30)</f>
        <v/>
      </c>
      <c r="J30" s="8" t="n"/>
    </row>
    <row r="31">
      <c r="A31" s="6" t="inlineStr">
        <is>
          <t>O2</t>
        </is>
      </c>
      <c r="B31" s="6" t="inlineStr">
        <is>
          <t>Ordinario</t>
        </is>
      </c>
      <c r="C31" s="6" t="inlineStr">
        <is>
          <t>Medico con 30.000 € di compensi, 4.000 € di materiale sanitario, 6.000 € di ENPAM versato, 2.000 € di ritenute subite</t>
        </is>
      </c>
      <c r="D31" s="6" t="inlineStr">
        <is>
          <t>Compensi 30.000,00 €; spese: materiale_sanitario 4.000,00 €; ENPAM versato 6.000,00 €; ritenute subite 2.000,00 €. Addizionali calcolate con tabelle DI PROVA: regionale 1,73%/2,73%/2,93%/3,33% (scaglioni 15k/28k/50k), comunale 0,8% con esenzione fino a 10.000 €.</t>
        </is>
      </c>
      <c r="E31" s="6" t="inlineStr">
        <is>
          <t>IRPEF netta</t>
        </is>
      </c>
      <c r="F31" s="7" t="n">
        <v>4032</v>
      </c>
      <c r="G31" s="8" t="n"/>
      <c r="H31" s="9" t="n"/>
      <c r="I31" s="10">
        <f>IF(H31="","",H31-F31)</f>
        <v/>
      </c>
      <c r="J31" s="8" t="n"/>
    </row>
    <row r="32">
      <c r="A32" s="6" t="inlineStr">
        <is>
          <t>O2</t>
        </is>
      </c>
      <c r="B32" s="6" t="inlineStr">
        <is>
          <t>Ordinario</t>
        </is>
      </c>
      <c r="C32" s="6" t="inlineStr">
        <is>
          <t>Medico con 30.000 € di compensi, 4.000 € di materiale sanitario, 6.000 € di ENPAM versato, 2.000 € di ritenute subite</t>
        </is>
      </c>
      <c r="D32" s="6" t="inlineStr">
        <is>
          <t>Compensi 30.000,00 €; spese: materiale_sanitario 4.000,00 €; ENPAM versato 6.000,00 €; ritenute subite 2.000,00 €. Addizionali calcolate con tabelle DI PROVA: regionale 1,73%/2,73%/2,93%/3,33% (scaglioni 15k/28k/50k), comunale 0,8% con esenzione fino a 10.000 €.</t>
        </is>
      </c>
      <c r="E32" s="6" t="inlineStr">
        <is>
          <t>Addizionale regionale (tabella di prova)</t>
        </is>
      </c>
      <c r="F32" s="7" t="n">
        <v>396</v>
      </c>
      <c r="G32" s="8" t="n"/>
      <c r="H32" s="9" t="n"/>
      <c r="I32" s="10">
        <f>IF(H32="","",H32-F32)</f>
        <v/>
      </c>
      <c r="J32" s="8" t="n"/>
    </row>
    <row r="33">
      <c r="A33" s="6" t="inlineStr">
        <is>
          <t>O2</t>
        </is>
      </c>
      <c r="B33" s="6" t="inlineStr">
        <is>
          <t>Ordinario</t>
        </is>
      </c>
      <c r="C33" s="6" t="inlineStr">
        <is>
          <t>Medico con 30.000 € di compensi, 4.000 € di materiale sanitario, 6.000 € di ENPAM versato, 2.000 € di ritenute subite</t>
        </is>
      </c>
      <c r="D33" s="6" t="inlineStr">
        <is>
          <t>Compensi 30.000,00 €; spese: materiale_sanitario 4.000,00 €; ENPAM versato 6.000,00 €; ritenute subite 2.000,00 €. Addizionali calcolate con tabelle DI PROVA: regionale 1,73%/2,73%/2,93%/3,33% (scaglioni 15k/28k/50k), comunale 0,8% con esenzione fino a 10.000 €.</t>
        </is>
      </c>
      <c r="E33" s="6" t="inlineStr">
        <is>
          <t>Addizionale comunale (tabella di prova)</t>
        </is>
      </c>
      <c r="F33" s="7" t="n">
        <v>160</v>
      </c>
      <c r="G33" s="8" t="n"/>
      <c r="H33" s="9" t="n"/>
      <c r="I33" s="10">
        <f>IF(H33="","",H33-F33)</f>
        <v/>
      </c>
      <c r="J33" s="8" t="n"/>
    </row>
    <row r="34">
      <c r="A34" s="6" t="inlineStr">
        <is>
          <t>A1</t>
        </is>
      </c>
      <c r="B34" s="6" t="inlineStr">
        <is>
          <t>ENPAM Quota A</t>
        </is>
      </c>
      <c r="C34" s="6" t="inlineStr">
        <is>
          <t>Compie 30 anni il 15/3/2026: 3 mesi a 304,73 €/anno e 9 mesi a 591,47 €/anno, più maternità 84,26</t>
        </is>
      </c>
      <c r="D34" s="6" t="inlineStr">
        <is>
          <t>Anno 2026; nato il 1996-03-15</t>
        </is>
      </c>
      <c r="E34" s="6" t="inlineStr">
        <is>
          <t>Quota A totale (con maternità)</t>
        </is>
      </c>
      <c r="F34" s="7" t="n">
        <v>604.05</v>
      </c>
      <c r="G34" s="8" t="n"/>
      <c r="H34" s="9" t="n"/>
      <c r="I34" s="10">
        <f>IF(H34="","",H34-F34)</f>
        <v/>
      </c>
      <c r="J34" s="8" t="n"/>
    </row>
    <row r="35">
      <c r="A35" s="6" t="inlineStr">
        <is>
          <t>A2</t>
        </is>
      </c>
      <c r="B35" s="6" t="inlineStr">
        <is>
          <t>ENPAM Quota A</t>
        </is>
      </c>
      <c r="C35" s="6" t="inlineStr">
        <is>
          <t>Over 40 tutto l'anno: 2.049,83 + maternità 84,26</t>
        </is>
      </c>
      <c r="D35" s="6" t="inlineStr">
        <is>
          <t>Anno 2026; nato il 1980-06-01</t>
        </is>
      </c>
      <c r="E35" s="6" t="inlineStr">
        <is>
          <t>Quota A totale (con maternità)</t>
        </is>
      </c>
      <c r="F35" s="7" t="n">
        <v>2134.09</v>
      </c>
      <c r="G35" s="8" t="n"/>
      <c r="H35" s="9" t="n"/>
      <c r="I35" s="10">
        <f>IF(H35="","",H35-F35)</f>
        <v/>
      </c>
      <c r="J35" s="8" t="n"/>
    </row>
    <row r="36">
      <c r="A36" s="6" t="inlineStr">
        <is>
          <t>B1</t>
        </is>
      </c>
      <c r="B36" s="6" t="inlineStr">
        <is>
          <t>ENPAM Quota B</t>
        </is>
      </c>
      <c r="C36" s="6" t="inlineStr">
        <is>
          <t>Under 40, reddito forfettario (LM34) 31.200 €: 19,5% sulla parte oltre 5.691,90 € (soglia 2026 stimata)</t>
        </is>
      </c>
      <c r="D36" s="6" t="inlineStr">
        <is>
          <t>Redditi 2026; nato il 1991-05-10; reddito libero-professionale 31.200,00 €</t>
        </is>
      </c>
      <c r="E36" s="6" t="inlineStr">
        <is>
          <t>Soglia esente (coperta da Quota A)</t>
        </is>
      </c>
      <c r="F36" s="7" t="n">
        <v>5691.9</v>
      </c>
      <c r="G36" s="8" t="n"/>
      <c r="H36" s="9" t="n"/>
      <c r="I36" s="10">
        <f>IF(H36="","",H36-F36)</f>
        <v/>
      </c>
      <c r="J36" s="8" t="n"/>
    </row>
    <row r="37">
      <c r="A37" s="6" t="inlineStr">
        <is>
          <t>B1</t>
        </is>
      </c>
      <c r="B37" s="6" t="inlineStr">
        <is>
          <t>ENPAM Quota B</t>
        </is>
      </c>
      <c r="C37" s="6" t="inlineStr">
        <is>
          <t>Under 40, reddito forfettario (LM34) 31.200 €: 19,5% sulla parte oltre 5.691,90 € (soglia 2026 stimata)</t>
        </is>
      </c>
      <c r="D37" s="6" t="inlineStr">
        <is>
          <t>Redditi 2026; nato il 1991-05-10; reddito libero-professionale 31.200,00 €</t>
        </is>
      </c>
      <c r="E37" s="6" t="inlineStr">
        <is>
          <t>Quota B dovuta</t>
        </is>
      </c>
      <c r="F37" s="7" t="n">
        <v>4974.08</v>
      </c>
      <c r="G37" s="8" t="n"/>
      <c r="H37" s="9" t="n"/>
      <c r="I37" s="10">
        <f>IF(H37="","",H37-F37)</f>
        <v/>
      </c>
      <c r="J37" s="8" t="n"/>
    </row>
    <row r="38">
      <c r="A38" s="6" t="inlineStr">
        <is>
          <t>B2</t>
        </is>
      </c>
      <c r="B38" s="6" t="inlineStr">
        <is>
          <t>ENPAM Quota B</t>
        </is>
      </c>
      <c r="C38" s="6" t="inlineStr">
        <is>
          <t>Over 40, reddito 160.000 €: 19,5% fino a 150.000 (oltre la soglia 2026 stimata di 10.511,95) + 1% sull'eccedenza</t>
        </is>
      </c>
      <c r="D38" s="6" t="inlineStr">
        <is>
          <t>Redditi 2026; nato il 1975-01-01; reddito libero-professionale 160.000,00 €</t>
        </is>
      </c>
      <c r="E38" s="6" t="inlineStr">
        <is>
          <t>Soglia esente (coperta da Quota A)</t>
        </is>
      </c>
      <c r="F38" s="7" t="n">
        <v>10511.95</v>
      </c>
      <c r="G38" s="8" t="n"/>
      <c r="H38" s="9" t="n"/>
      <c r="I38" s="10">
        <f>IF(H38="","",H38-F38)</f>
        <v/>
      </c>
      <c r="J38" s="8" t="n"/>
    </row>
    <row r="39">
      <c r="A39" s="6" t="inlineStr">
        <is>
          <t>B2</t>
        </is>
      </c>
      <c r="B39" s="6" t="inlineStr">
        <is>
          <t>ENPAM Quota B</t>
        </is>
      </c>
      <c r="C39" s="6" t="inlineStr">
        <is>
          <t>Over 40, reddito 160.000 €: 19,5% fino a 150.000 (oltre la soglia 2026 stimata di 10.511,95) + 1% sull'eccedenza</t>
        </is>
      </c>
      <c r="D39" s="6" t="inlineStr">
        <is>
          <t>Redditi 2026; nato il 1975-01-01; reddito libero-professionale 160.000,00 €</t>
        </is>
      </c>
      <c r="E39" s="6" t="inlineStr">
        <is>
          <t>Quota B dovuta</t>
        </is>
      </c>
      <c r="F39" s="7" t="n">
        <v>27300.17</v>
      </c>
      <c r="G39" s="8" t="n"/>
      <c r="H39" s="9" t="n"/>
      <c r="I39" s="10">
        <f>IF(H39="","",H39-F39)</f>
        <v/>
      </c>
      <c r="J39" s="8" t="n"/>
    </row>
    <row r="40">
      <c r="A40" s="6" t="inlineStr">
        <is>
          <t>B3</t>
        </is>
      </c>
      <c r="B40" s="6" t="inlineStr">
        <is>
          <t>ENPAM Quota B</t>
        </is>
      </c>
      <c r="C40" s="6" t="inlineStr">
        <is>
          <t>Under 40 con reddito sotto la soglia: nessuna Quota B</t>
        </is>
      </c>
      <c r="D40" s="6" t="inlineStr">
        <is>
          <t>Redditi 2026; nato il 1995-01-01; reddito libero-professionale 5.000,00 €</t>
        </is>
      </c>
      <c r="E40" s="6" t="inlineStr">
        <is>
          <t>Soglia esente (coperta da Quota A)</t>
        </is>
      </c>
      <c r="F40" s="7" t="n">
        <v>5691.9</v>
      </c>
      <c r="G40" s="8" t="n"/>
      <c r="H40" s="9" t="n"/>
      <c r="I40" s="10">
        <f>IF(H40="","",H40-F40)</f>
        <v/>
      </c>
      <c r="J40" s="8" t="n"/>
    </row>
    <row r="41">
      <c r="A41" s="6" t="inlineStr">
        <is>
          <t>B3</t>
        </is>
      </c>
      <c r="B41" s="6" t="inlineStr">
        <is>
          <t>ENPAM Quota B</t>
        </is>
      </c>
      <c r="C41" s="6" t="inlineStr">
        <is>
          <t>Under 40 con reddito sotto la soglia: nessuna Quota B</t>
        </is>
      </c>
      <c r="D41" s="6" t="inlineStr">
        <is>
          <t>Redditi 2026; nato il 1995-01-01; reddito libero-professionale 5.000,00 €</t>
        </is>
      </c>
      <c r="E41" s="6" t="inlineStr">
        <is>
          <t>Quota B dovuta</t>
        </is>
      </c>
      <c r="F41" s="7" t="n">
        <v>0</v>
      </c>
      <c r="G41" s="8" t="n"/>
      <c r="H41" s="9" t="n"/>
      <c r="I41" s="10">
        <f>IF(H41="","",H41-F41)</f>
        <v/>
      </c>
      <c r="J41" s="8" t="n"/>
    </row>
    <row r="42">
      <c r="A42" s="6" t="inlineStr">
        <is>
          <t>AC1</t>
        </is>
      </c>
      <c r="B42" s="6" t="inlineStr">
        <is>
          <t>Acconti</t>
        </is>
      </c>
      <c r="C42" s="6" t="inlineStr">
        <is>
          <t>Imposta anno precedente 50 €: nessun acconto</t>
        </is>
      </c>
      <c r="D42" s="6" t="inlineStr">
        <is>
          <t>Imposta anno precedente (rigo differenza) 50,00 €</t>
        </is>
      </c>
      <c r="E42" s="6" t="inlineStr">
        <is>
          <t>Modalità</t>
        </is>
      </c>
      <c r="F42" s="14" t="inlineStr">
        <is>
          <t>nessuno</t>
        </is>
      </c>
      <c r="G42" s="8" t="n"/>
      <c r="H42" s="8" t="n"/>
      <c r="I42" s="15">
        <f>IF(H42="","",IF(H42=F42,"uguale","diverso"))</f>
        <v/>
      </c>
      <c r="J42" s="8" t="n"/>
    </row>
    <row r="43">
      <c r="A43" s="6" t="inlineStr">
        <is>
          <t>AC1</t>
        </is>
      </c>
      <c r="B43" s="6" t="inlineStr">
        <is>
          <t>Acconti</t>
        </is>
      </c>
      <c r="C43" s="6" t="inlineStr">
        <is>
          <t>Imposta anno precedente 50 €: nessun acconto</t>
        </is>
      </c>
      <c r="D43" s="6" t="inlineStr">
        <is>
          <t>Imposta anno precedente (rigo differenza) 50,00 €</t>
        </is>
      </c>
      <c r="E43" s="6" t="inlineStr">
        <is>
          <t>1° acconto (giugno/luglio)</t>
        </is>
      </c>
      <c r="F43" s="7" t="n">
        <v>0</v>
      </c>
      <c r="G43" s="8" t="n"/>
      <c r="H43" s="9" t="n"/>
      <c r="I43" s="10">
        <f>IF(H43="","",H43-F43)</f>
        <v/>
      </c>
      <c r="J43" s="8" t="n"/>
    </row>
    <row r="44">
      <c r="A44" s="6" t="inlineStr">
        <is>
          <t>AC1</t>
        </is>
      </c>
      <c r="B44" s="6" t="inlineStr">
        <is>
          <t>Acconti</t>
        </is>
      </c>
      <c r="C44" s="6" t="inlineStr">
        <is>
          <t>Imposta anno precedente 50 €: nessun acconto</t>
        </is>
      </c>
      <c r="D44" s="6" t="inlineStr">
        <is>
          <t>Imposta anno precedente (rigo differenza) 50,00 €</t>
        </is>
      </c>
      <c r="E44" s="6" t="inlineStr">
        <is>
          <t>2° acconto (novembre)</t>
        </is>
      </c>
      <c r="F44" s="7" t="n">
        <v>0</v>
      </c>
      <c r="G44" s="8" t="n"/>
      <c r="H44" s="9" t="n"/>
      <c r="I44" s="10">
        <f>IF(H44="","",H44-F44)</f>
        <v/>
      </c>
      <c r="J44" s="8" t="n"/>
    </row>
    <row r="45">
      <c r="A45" s="6" t="inlineStr">
        <is>
          <t>AC2</t>
        </is>
      </c>
      <c r="B45" s="6" t="inlineStr">
        <is>
          <t>Acconti</t>
        </is>
      </c>
      <c r="C45" s="6" t="inlineStr">
        <is>
          <t>Imposta anno precedente 200 €: acconto unico a novembre</t>
        </is>
      </c>
      <c r="D45" s="6" t="inlineStr">
        <is>
          <t>Imposta anno precedente (rigo differenza) 200,00 €</t>
        </is>
      </c>
      <c r="E45" s="6" t="inlineStr">
        <is>
          <t>Modalità</t>
        </is>
      </c>
      <c r="F45" s="14" t="inlineStr">
        <is>
          <t>unica soluzione</t>
        </is>
      </c>
      <c r="G45" s="8" t="n"/>
      <c r="H45" s="8" t="n"/>
      <c r="I45" s="15">
        <f>IF(H45="","",IF(H45=F45,"uguale","diverso"))</f>
        <v/>
      </c>
      <c r="J45" s="8" t="n"/>
    </row>
    <row r="46">
      <c r="A46" s="6" t="inlineStr">
        <is>
          <t>AC2</t>
        </is>
      </c>
      <c r="B46" s="6" t="inlineStr">
        <is>
          <t>Acconti</t>
        </is>
      </c>
      <c r="C46" s="6" t="inlineStr">
        <is>
          <t>Imposta anno precedente 200 €: acconto unico a novembre</t>
        </is>
      </c>
      <c r="D46" s="6" t="inlineStr">
        <is>
          <t>Imposta anno precedente (rigo differenza) 200,00 €</t>
        </is>
      </c>
      <c r="E46" s="6" t="inlineStr">
        <is>
          <t>1° acconto (giugno/luglio)</t>
        </is>
      </c>
      <c r="F46" s="7" t="n">
        <v>0</v>
      </c>
      <c r="G46" s="8" t="n"/>
      <c r="H46" s="9" t="n"/>
      <c r="I46" s="10">
        <f>IF(H46="","",H46-F46)</f>
        <v/>
      </c>
      <c r="J46" s="8" t="n"/>
    </row>
    <row r="47">
      <c r="A47" s="6" t="inlineStr">
        <is>
          <t>AC2</t>
        </is>
      </c>
      <c r="B47" s="6" t="inlineStr">
        <is>
          <t>Acconti</t>
        </is>
      </c>
      <c r="C47" s="6" t="inlineStr">
        <is>
          <t>Imposta anno precedente 200 €: acconto unico a novembre</t>
        </is>
      </c>
      <c r="D47" s="6" t="inlineStr">
        <is>
          <t>Imposta anno precedente (rigo differenza) 200,00 €</t>
        </is>
      </c>
      <c r="E47" s="6" t="inlineStr">
        <is>
          <t>2° acconto (novembre)</t>
        </is>
      </c>
      <c r="F47" s="7" t="n">
        <v>200</v>
      </c>
      <c r="G47" s="8" t="n"/>
      <c r="H47" s="9" t="n"/>
      <c r="I47" s="10">
        <f>IF(H47="","",H47-F47)</f>
        <v/>
      </c>
      <c r="J47" s="8" t="n"/>
    </row>
    <row r="48">
      <c r="A48" s="6" t="inlineStr">
        <is>
          <t>AC3</t>
        </is>
      </c>
      <c r="B48" s="6" t="inlineStr">
        <is>
          <t>Acconti</t>
        </is>
      </c>
      <c r="C48" s="6" t="inlineStr">
        <is>
          <t>Imposta anno precedente 1.435 €: due rate da 50% (soggetti ISA/forfettari)</t>
        </is>
      </c>
      <c r="D48" s="6" t="inlineStr">
        <is>
          <t>Imposta anno precedente (rigo differenza) 1.435,00 €</t>
        </is>
      </c>
      <c r="E48" s="6" t="inlineStr">
        <is>
          <t>Modalità</t>
        </is>
      </c>
      <c r="F48" s="14" t="inlineStr">
        <is>
          <t>due rate</t>
        </is>
      </c>
      <c r="G48" s="8" t="n"/>
      <c r="H48" s="8" t="n"/>
      <c r="I48" s="15">
        <f>IF(H48="","",IF(H48=F48,"uguale","diverso"))</f>
        <v/>
      </c>
      <c r="J48" s="8" t="n"/>
    </row>
    <row r="49">
      <c r="A49" s="6" t="inlineStr">
        <is>
          <t>AC3</t>
        </is>
      </c>
      <c r="B49" s="6" t="inlineStr">
        <is>
          <t>Acconti</t>
        </is>
      </c>
      <c r="C49" s="6" t="inlineStr">
        <is>
          <t>Imposta anno precedente 1.435 €: due rate da 50% (soggetti ISA/forfettari)</t>
        </is>
      </c>
      <c r="D49" s="6" t="inlineStr">
        <is>
          <t>Imposta anno precedente (rigo differenza) 1.435,00 €</t>
        </is>
      </c>
      <c r="E49" s="6" t="inlineStr">
        <is>
          <t>1° acconto (giugno/luglio)</t>
        </is>
      </c>
      <c r="F49" s="7" t="n">
        <v>717.5</v>
      </c>
      <c r="G49" s="8" t="n"/>
      <c r="H49" s="9" t="n"/>
      <c r="I49" s="10">
        <f>IF(H49="","",H49-F49)</f>
        <v/>
      </c>
      <c r="J49" s="8" t="n"/>
    </row>
    <row r="50">
      <c r="A50" s="6" t="inlineStr">
        <is>
          <t>AC3</t>
        </is>
      </c>
      <c r="B50" s="6" t="inlineStr">
        <is>
          <t>Acconti</t>
        </is>
      </c>
      <c r="C50" s="6" t="inlineStr">
        <is>
          <t>Imposta anno precedente 1.435 €: due rate da 50% (soggetti ISA/forfettari)</t>
        </is>
      </c>
      <c r="D50" s="6" t="inlineStr">
        <is>
          <t>Imposta anno precedente (rigo differenza) 1.435,00 €</t>
        </is>
      </c>
      <c r="E50" s="6" t="inlineStr">
        <is>
          <t>2° acconto (novembre)</t>
        </is>
      </c>
      <c r="F50" s="7" t="n">
        <v>717.5</v>
      </c>
      <c r="G50" s="8" t="n"/>
      <c r="H50" s="9" t="n"/>
      <c r="I50" s="10">
        <f>IF(H50="","",H50-F50)</f>
        <v/>
      </c>
      <c r="J50" s="8" t="n"/>
    </row>
    <row r="51">
      <c r="A51" s="6" t="inlineStr">
        <is>
          <t>D1</t>
        </is>
      </c>
      <c r="B51" s="6" t="inlineStr">
        <is>
          <t>Dashboard</t>
        </is>
      </c>
      <c r="C51" s="6" t="inlineStr">
        <is>
          <t>Forfettario 15%, over 40, al 30 giugno: Quota A pagata, saldo 2025 e Quota B 2025 ancora da pagare</t>
        </is>
      </c>
      <c r="D51" s="6" t="inlineStr">
        <is>
          <t>Oggi 30/6/2026. Nato nel 1975, attività dal 2018, aliquota 15%. Incassi 7.500 € al mese da gennaio a giugno (45.000 €). Quota A 2026 versata il 30/4 (2.134,09 €). Anno 2025: imposta 9.000 €, acconti versati 7.000 €, ricavi 80.000 €, reddito 62.400 €. Quota A e B in unica soluzione.</t>
        </is>
      </c>
      <c r="E51" s="6" t="inlineStr">
        <is>
          <t>Metodo di stima</t>
        </is>
      </c>
      <c r="F51" s="14" t="inlineStr">
        <is>
          <t>imposta annua stimata × frazione d'anno</t>
        </is>
      </c>
      <c r="G51" s="8" t="n"/>
      <c r="H51" s="8" t="n"/>
      <c r="I51" s="15">
        <f>IF(H51="","",IF(H51=F51,"uguale","diverso"))</f>
        <v/>
      </c>
      <c r="J51" s="8" t="n"/>
    </row>
    <row r="52">
      <c r="A52" s="6" t="inlineStr">
        <is>
          <t>D1</t>
        </is>
      </c>
      <c r="B52" s="6" t="inlineStr">
        <is>
          <t>Dashboard</t>
        </is>
      </c>
      <c r="C52" s="6" t="inlineStr">
        <is>
          <t>Forfettario 15%, over 40, al 30 giugno: Quota A pagata, saldo 2025 e Quota B 2025 ancora da pagare</t>
        </is>
      </c>
      <c r="D52" s="6" t="inlineStr">
        <is>
          <t>Oggi 30/6/2026. Nato nel 1975, attività dal 2018, aliquota 15%. Incassi 7.500 € al mese da gennaio a giugno (45.000 €). Quota A 2026 versata il 30/4 (2.134,09 €). Anno 2025: imposta 9.000 €, acconti versati 7.000 €, ricavi 80.000 €, reddito 62.400 €. Quota A e B in unica soluzione.</t>
        </is>
      </c>
      <c r="E52" s="6" t="inlineStr">
        <is>
          <t>Imposte maturate da inizio anno</t>
        </is>
      </c>
      <c r="F52" s="7" t="n">
        <v>4347.07</v>
      </c>
      <c r="G52" s="8" t="n"/>
      <c r="H52" s="9" t="n"/>
      <c r="I52" s="10">
        <f>IF(H52="","",H52-F52)</f>
        <v/>
      </c>
      <c r="J52" s="8" t="n"/>
    </row>
    <row r="53">
      <c r="A53" s="6" t="inlineStr">
        <is>
          <t>D1</t>
        </is>
      </c>
      <c r="B53" s="6" t="inlineStr">
        <is>
          <t>Dashboard</t>
        </is>
      </c>
      <c r="C53" s="6" t="inlineStr">
        <is>
          <t>Forfettario 15%, over 40, al 30 giugno: Quota A pagata, saldo 2025 e Quota B 2025 ancora da pagare</t>
        </is>
      </c>
      <c r="D53" s="6" t="inlineStr">
        <is>
          <t>Oggi 30/6/2026. Nato nel 1975, attività dal 2018, aliquota 15%. Incassi 7.500 € al mese da gennaio a giugno (45.000 €). Quota A 2026 versata il 30/4 (2.134,09 €). Anno 2025: imposta 9.000 €, acconti versati 7.000 €, ricavi 80.000 €, reddito 62.400 €. Quota A e B in unica soluzione.</t>
        </is>
      </c>
      <c r="E53" s="6" t="inlineStr">
        <is>
          <t>Imposte da accantonare (dopo ritenute e acconti versati)</t>
        </is>
      </c>
      <c r="F53" s="7" t="n">
        <v>4347.07</v>
      </c>
      <c r="G53" s="8" t="n"/>
      <c r="H53" s="9" t="n"/>
      <c r="I53" s="10">
        <f>IF(H53="","",H53-F53)</f>
        <v/>
      </c>
      <c r="J53" s="8" t="n"/>
    </row>
    <row r="54">
      <c r="A54" s="6" t="inlineStr">
        <is>
          <t>D1</t>
        </is>
      </c>
      <c r="B54" s="6" t="inlineStr">
        <is>
          <t>Dashboard</t>
        </is>
      </c>
      <c r="C54" s="6" t="inlineStr">
        <is>
          <t>Forfettario 15%, over 40, al 30 giugno: Quota A pagata, saldo 2025 e Quota B 2025 ancora da pagare</t>
        </is>
      </c>
      <c r="D54" s="6" t="inlineStr">
        <is>
          <t>Oggi 30/6/2026. Nato nel 1975, attività dal 2018, aliquota 15%. Incassi 7.500 € al mese da gennaio a giugno (45.000 €). Quota A 2026 versata il 30/4 (2.134,09 €). Anno 2025: imposta 9.000 €, acconti versati 7.000 €, ricavi 80.000 €, reddito 62.400 €. Quota A e B in unica soluzione.</t>
        </is>
      </c>
      <c r="E54" s="6" t="inlineStr">
        <is>
          <t>Quota A ancora da versare</t>
        </is>
      </c>
      <c r="F54" s="7" t="n">
        <v>0</v>
      </c>
      <c r="G54" s="8" t="n"/>
      <c r="H54" s="9" t="n"/>
      <c r="I54" s="10">
        <f>IF(H54="","",H54-F54)</f>
        <v/>
      </c>
      <c r="J54" s="8" t="n"/>
    </row>
    <row r="55">
      <c r="A55" s="6" t="inlineStr">
        <is>
          <t>D1</t>
        </is>
      </c>
      <c r="B55" s="6" t="inlineStr">
        <is>
          <t>Dashboard</t>
        </is>
      </c>
      <c r="C55" s="6" t="inlineStr">
        <is>
          <t>Forfettario 15%, over 40, al 30 giugno: Quota A pagata, saldo 2025 e Quota B 2025 ancora da pagare</t>
        </is>
      </c>
      <c r="D55" s="6" t="inlineStr">
        <is>
          <t>Oggi 30/6/2026. Nato nel 1975, attività dal 2018, aliquota 15%. Incassi 7.500 € al mese da gennaio a giugno (45.000 €). Quota A 2026 versata il 30/4 (2.134,09 €). Anno 2025: imposta 9.000 €, acconti versati 7.000 €, ricavi 80.000 €, reddito 62.400 €. Quota A e B in unica soluzione.</t>
        </is>
      </c>
      <c r="E55" s="6" t="inlineStr">
        <is>
          <t>Quota B maturata (si paga l'anno prossimo)</t>
        </is>
      </c>
      <c r="F55" s="7" t="n">
        <v>5828.01</v>
      </c>
      <c r="G55" s="8" t="n"/>
      <c r="H55" s="9" t="n"/>
      <c r="I55" s="10">
        <f>IF(H55="","",H55-F55)</f>
        <v/>
      </c>
      <c r="J55" s="8" t="n"/>
    </row>
    <row r="56">
      <c r="A56" s="6" t="inlineStr">
        <is>
          <t>D1</t>
        </is>
      </c>
      <c r="B56" s="6" t="inlineStr">
        <is>
          <t>Dashboard</t>
        </is>
      </c>
      <c r="C56" s="6" t="inlineStr">
        <is>
          <t>Forfettario 15%, over 40, al 30 giugno: Quota A pagata, saldo 2025 e Quota B 2025 ancora da pagare</t>
        </is>
      </c>
      <c r="D56" s="6" t="inlineStr">
        <is>
          <t>Oggi 30/6/2026. Nato nel 1975, attività dal 2018, aliquota 15%. Incassi 7.500 € al mese da gennaio a giugno (45.000 €). Quota A 2026 versata il 30/4 (2.134,09 €). Anno 2025: imposta 9.000 €, acconti versati 7.000 €, ricavi 80.000 €, reddito 62.400 €. Quota A e B in unica soluzione.</t>
        </is>
      </c>
      <c r="E56" s="6" t="inlineStr">
        <is>
          <t>IVA da versare</t>
        </is>
      </c>
      <c r="F56" s="7" t="n">
        <v>0</v>
      </c>
      <c r="G56" s="8" t="n"/>
      <c r="H56" s="9" t="n"/>
      <c r="I56" s="10">
        <f>IF(H56="","",H56-F56)</f>
        <v/>
      </c>
      <c r="J56" s="8" t="n"/>
    </row>
    <row r="57">
      <c r="A57" s="6" t="inlineStr">
        <is>
          <t>D1</t>
        </is>
      </c>
      <c r="B57" s="6" t="inlineStr">
        <is>
          <t>Dashboard</t>
        </is>
      </c>
      <c r="C57" s="6" t="inlineStr">
        <is>
          <t>Forfettario 15%, over 40, al 30 giugno: Quota A pagata, saldo 2025 e Quota B 2025 ancora da pagare</t>
        </is>
      </c>
      <c r="D57" s="6" t="inlineStr">
        <is>
          <t>Oggi 30/6/2026. Nato nel 1975, attività dal 2018, aliquota 15%. Incassi 7.500 € al mese da gennaio a giugno (45.000 €). Quota A 2026 versata il 30/4 (2.134,09 €). Anno 2025: imposta 9.000 €, acconti versati 7.000 €, ricavi 80.000 €, reddito 62.400 €. Quota A e B in unica soluzione.</t>
        </is>
      </c>
      <c r="E57" s="6" t="inlineStr">
        <is>
          <t>TOTALE da accantonare</t>
        </is>
      </c>
      <c r="F57" s="7" t="n">
        <v>10175.08</v>
      </c>
      <c r="G57" s="8" t="n"/>
      <c r="H57" s="9" t="n"/>
      <c r="I57" s="10">
        <f>IF(H57="","",H57-F57)</f>
        <v/>
      </c>
      <c r="J57" s="8" t="n"/>
    </row>
    <row r="58">
      <c r="A58" s="6" t="inlineStr">
        <is>
          <t>D1</t>
        </is>
      </c>
      <c r="B58" s="6" t="inlineStr">
        <is>
          <t>Dashboard</t>
        </is>
      </c>
      <c r="C58" s="6" t="inlineStr">
        <is>
          <t>Forfettario 15%, over 40, al 30 giugno: Quota A pagata, saldo 2025 e Quota B 2025 ancora da pagare</t>
        </is>
      </c>
      <c r="D58" s="6" t="inlineStr">
        <is>
          <t>Oggi 30/6/2026. Nato nel 1975, attività dal 2018, aliquota 15%. Incassi 7.500 € al mese da gennaio a giugno (45.000 €). Quota A 2026 versata il 30/4 (2.134,09 €). Anno 2025: imposta 9.000 €, acconti versati 7.000 €, ricavi 80.000 €, reddito 62.400 €. Quota A e B in unica soluzione.</t>
        </is>
      </c>
      <c r="E58" s="6" t="inlineStr">
        <is>
          <t>Impegni dell'anno precedente ancora da pagare</t>
        </is>
      </c>
      <c r="F58" s="7" t="n">
        <v>12206.44</v>
      </c>
      <c r="G58" s="8" t="n"/>
      <c r="H58" s="9" t="n"/>
      <c r="I58" s="10">
        <f>IF(H58="","",H58-F58)</f>
        <v/>
      </c>
      <c r="J58" s="8" t="n"/>
    </row>
    <row r="59">
      <c r="A59" s="6" t="inlineStr">
        <is>
          <t>D1</t>
        </is>
      </c>
      <c r="B59" s="6" t="inlineStr">
        <is>
          <t>Dashboard</t>
        </is>
      </c>
      <c r="C59" s="6" t="inlineStr">
        <is>
          <t>Forfettario 15%, over 40, al 30 giugno: Quota A pagata, saldo 2025 e Quota B 2025 ancora da pagare</t>
        </is>
      </c>
      <c r="D59" s="6" t="inlineStr">
        <is>
          <t>Oggi 30/6/2026. Nato nel 1975, attività dal 2018, aliquota 15%. Incassi 7.500 € al mese da gennaio a giugno (45.000 €). Quota A 2026 versata il 30/4 (2.134,09 €). Anno 2025: imposta 9.000 €, acconti versati 7.000 €, ricavi 80.000 €, reddito 62.400 €. Quota A e B in unica soluzione.</t>
        </is>
      </c>
      <c r="E59" s="6" t="inlineStr">
        <is>
          <t>Guadagno netto da inizio anno</t>
        </is>
      </c>
      <c r="F59" s="7" t="n">
        <v>33766.65</v>
      </c>
      <c r="G59" s="8" t="n"/>
      <c r="H59" s="9" t="n"/>
      <c r="I59" s="10">
        <f>IF(H59="","",H59-F59)</f>
        <v/>
      </c>
      <c r="J59" s="8" t="n"/>
    </row>
    <row r="60">
      <c r="A60" s="6" t="inlineStr">
        <is>
          <t>D2</t>
        </is>
      </c>
      <c r="B60" s="6" t="inlineStr">
        <is>
          <t>Dashboard</t>
        </is>
      </c>
      <c r="C60" s="6" t="inlineStr">
        <is>
          <t>Ordinario, over 40, al 30 settembre: compensi da strutture con ritenuta del 20%</t>
        </is>
      </c>
      <c r="D60" s="6" t="inlineStr">
        <is>
          <t>Oggi 30/9/2026. Ordinario, Sardegna (addizionale regionale 1,23%), comune non impostato. Nato nel 1975. Compensi 6.000 € al mese da strutture (gennaio-settembre, esenti IVA) con ritenuta di 1.200 € ciascuno. Affitto studio 800 € al mese. Quota A versata il 30/4 (2.134,09 €). Nessun dato dell'anno precedente.</t>
        </is>
      </c>
      <c r="E60" s="6" t="inlineStr">
        <is>
          <t>Metodo di stima</t>
        </is>
      </c>
      <c r="F60" s="14" t="inlineStr">
        <is>
          <t>imposta annua stimata × frazione d'anno</t>
        </is>
      </c>
      <c r="G60" s="8" t="n"/>
      <c r="H60" s="8" t="n"/>
      <c r="I60" s="15">
        <f>IF(H60="","",IF(H60=F60,"uguale","diverso"))</f>
        <v/>
      </c>
      <c r="J60" s="8" t="n"/>
    </row>
    <row r="61">
      <c r="A61" s="6" t="inlineStr">
        <is>
          <t>D2</t>
        </is>
      </c>
      <c r="B61" s="6" t="inlineStr">
        <is>
          <t>Dashboard</t>
        </is>
      </c>
      <c r="C61" s="6" t="inlineStr">
        <is>
          <t>Ordinario, over 40, al 30 settembre: compensi da strutture con ritenuta del 20%</t>
        </is>
      </c>
      <c r="D61" s="6" t="inlineStr">
        <is>
          <t>Oggi 30/9/2026. Ordinario, Sardegna (addizionale regionale 1,23%), comune non impostato. Nato nel 1975. Compensi 6.000 € al mese da strutture (gennaio-settembre, esenti IVA) con ritenuta di 1.200 € ciascuno. Affitto studio 800 € al mese. Quota A versata il 30/4 (2.134,09 €). Nessun dato dell'anno precedente.</t>
        </is>
      </c>
      <c r="E61" s="6" t="inlineStr">
        <is>
          <t>Imposte maturate da inizio anno</t>
        </is>
      </c>
      <c r="F61" s="7" t="n">
        <v>14159.66</v>
      </c>
      <c r="G61" s="8" t="n"/>
      <c r="H61" s="9" t="n"/>
      <c r="I61" s="10">
        <f>IF(H61="","",H61-F61)</f>
        <v/>
      </c>
      <c r="J61" s="8" t="n"/>
    </row>
    <row r="62">
      <c r="A62" s="6" t="inlineStr">
        <is>
          <t>D2</t>
        </is>
      </c>
      <c r="B62" s="6" t="inlineStr">
        <is>
          <t>Dashboard</t>
        </is>
      </c>
      <c r="C62" s="6" t="inlineStr">
        <is>
          <t>Ordinario, over 40, al 30 settembre: compensi da strutture con ritenuta del 20%</t>
        </is>
      </c>
      <c r="D62" s="6" t="inlineStr">
        <is>
          <t>Oggi 30/9/2026. Ordinario, Sardegna (addizionale regionale 1,23%), comune non impostato. Nato nel 1975. Compensi 6.000 € al mese da strutture (gennaio-settembre, esenti IVA) con ritenuta di 1.200 € ciascuno. Affitto studio 800 € al mese. Quota A versata il 30/4 (2.134,09 €). Nessun dato dell'anno precedente.</t>
        </is>
      </c>
      <c r="E62" s="6" t="inlineStr">
        <is>
          <t>Imposte da accantonare (dopo ritenute e acconti versati)</t>
        </is>
      </c>
      <c r="F62" s="7" t="n">
        <v>3359.66</v>
      </c>
      <c r="G62" s="8" t="n"/>
      <c r="H62" s="9" t="n"/>
      <c r="I62" s="10">
        <f>IF(H62="","",H62-F62)</f>
        <v/>
      </c>
      <c r="J62" s="8" t="n"/>
    </row>
    <row r="63">
      <c r="A63" s="6" t="inlineStr">
        <is>
          <t>D2</t>
        </is>
      </c>
      <c r="B63" s="6" t="inlineStr">
        <is>
          <t>Dashboard</t>
        </is>
      </c>
      <c r="C63" s="6" t="inlineStr">
        <is>
          <t>Ordinario, over 40, al 30 settembre: compensi da strutture con ritenuta del 20%</t>
        </is>
      </c>
      <c r="D63" s="6" t="inlineStr">
        <is>
          <t>Oggi 30/9/2026. Ordinario, Sardegna (addizionale regionale 1,23%), comune non impostato. Nato nel 1975. Compensi 6.000 € al mese da strutture (gennaio-settembre, esenti IVA) con ritenuta di 1.200 € ciascuno. Affitto studio 800 € al mese. Quota A versata il 30/4 (2.134,09 €). Nessun dato dell'anno precedente.</t>
        </is>
      </c>
      <c r="E63" s="6" t="inlineStr">
        <is>
          <t>Quota A ancora da versare</t>
        </is>
      </c>
      <c r="F63" s="7" t="n">
        <v>0</v>
      </c>
      <c r="G63" s="8" t="n"/>
      <c r="H63" s="9" t="n"/>
      <c r="I63" s="10">
        <f>IF(H63="","",H63-F63)</f>
        <v/>
      </c>
      <c r="J63" s="8" t="n"/>
    </row>
    <row r="64">
      <c r="A64" s="6" t="inlineStr">
        <is>
          <t>D2</t>
        </is>
      </c>
      <c r="B64" s="6" t="inlineStr">
        <is>
          <t>Dashboard</t>
        </is>
      </c>
      <c r="C64" s="6" t="inlineStr">
        <is>
          <t>Ordinario, over 40, al 30 settembre: compensi da strutture con ritenuta del 20%</t>
        </is>
      </c>
      <c r="D64" s="6" t="inlineStr">
        <is>
          <t>Oggi 30/9/2026. Ordinario, Sardegna (addizionale regionale 1,23%), comune non impostato. Nato nel 1975. Compensi 6.000 € al mese da strutture (gennaio-settembre, esenti IVA) con ritenuta di 1.200 € ciascuno. Affitto studio 800 € al mese. Quota A versata il 30/4 (2.134,09 €). Nessun dato dell'anno precedente.</t>
        </is>
      </c>
      <c r="E64" s="6" t="inlineStr">
        <is>
          <t>Quota B maturata (si paga l'anno prossimo)</t>
        </is>
      </c>
      <c r="F64" s="7" t="n">
        <v>7592.84</v>
      </c>
      <c r="G64" s="8" t="n"/>
      <c r="H64" s="9" t="n"/>
      <c r="I64" s="10">
        <f>IF(H64="","",H64-F64)</f>
        <v/>
      </c>
      <c r="J64" s="8" t="n"/>
    </row>
    <row r="65">
      <c r="A65" s="6" t="inlineStr">
        <is>
          <t>D2</t>
        </is>
      </c>
      <c r="B65" s="6" t="inlineStr">
        <is>
          <t>Dashboard</t>
        </is>
      </c>
      <c r="C65" s="6" t="inlineStr">
        <is>
          <t>Ordinario, over 40, al 30 settembre: compensi da strutture con ritenuta del 20%</t>
        </is>
      </c>
      <c r="D65" s="6" t="inlineStr">
        <is>
          <t>Oggi 30/9/2026. Ordinario, Sardegna (addizionale regionale 1,23%), comune non impostato. Nato nel 1975. Compensi 6.000 € al mese da strutture (gennaio-settembre, esenti IVA) con ritenuta di 1.200 € ciascuno. Affitto studio 800 € al mese. Quota A versata il 30/4 (2.134,09 €). Nessun dato dell'anno precedente.</t>
        </is>
      </c>
      <c r="E65" s="6" t="inlineStr">
        <is>
          <t>IVA da versare</t>
        </is>
      </c>
      <c r="F65" s="7" t="n">
        <v>0</v>
      </c>
      <c r="G65" s="8" t="n"/>
      <c r="H65" s="9" t="n"/>
      <c r="I65" s="10">
        <f>IF(H65="","",H65-F65)</f>
        <v/>
      </c>
      <c r="J65" s="8" t="n"/>
    </row>
    <row r="66">
      <c r="A66" s="6" t="inlineStr">
        <is>
          <t>D2</t>
        </is>
      </c>
      <c r="B66" s="6" t="inlineStr">
        <is>
          <t>Dashboard</t>
        </is>
      </c>
      <c r="C66" s="6" t="inlineStr">
        <is>
          <t>Ordinario, over 40, al 30 settembre: compensi da strutture con ritenuta del 20%</t>
        </is>
      </c>
      <c r="D66" s="6" t="inlineStr">
        <is>
          <t>Oggi 30/9/2026. Ordinario, Sardegna (addizionale regionale 1,23%), comune non impostato. Nato nel 1975. Compensi 6.000 € al mese da strutture (gennaio-settembre, esenti IVA) con ritenuta di 1.200 € ciascuno. Affitto studio 800 € al mese. Quota A versata il 30/4 (2.134,09 €). Nessun dato dell'anno precedente.</t>
        </is>
      </c>
      <c r="E66" s="6" t="inlineStr">
        <is>
          <t>TOTALE da accantonare</t>
        </is>
      </c>
      <c r="F66" s="7" t="n">
        <v>10952.5</v>
      </c>
      <c r="G66" s="8" t="n"/>
      <c r="H66" s="9" t="n"/>
      <c r="I66" s="10">
        <f>IF(H66="","",H66-F66)</f>
        <v/>
      </c>
      <c r="J66" s="8" t="n"/>
    </row>
    <row r="67">
      <c r="A67" s="6" t="inlineStr">
        <is>
          <t>D2</t>
        </is>
      </c>
      <c r="B67" s="6" t="inlineStr">
        <is>
          <t>Dashboard</t>
        </is>
      </c>
      <c r="C67" s="6" t="inlineStr">
        <is>
          <t>Ordinario, over 40, al 30 settembre: compensi da strutture con ritenuta del 20%</t>
        </is>
      </c>
      <c r="D67" s="6" t="inlineStr">
        <is>
          <t>Oggi 30/9/2026. Ordinario, Sardegna (addizionale regionale 1,23%), comune non impostato. Nato nel 1975. Compensi 6.000 € al mese da strutture (gennaio-settembre, esenti IVA) con ritenuta di 1.200 € ciascuno. Affitto studio 800 € al mese. Quota A versata il 30/4 (2.134,09 €). Nessun dato dell'anno precedente.</t>
        </is>
      </c>
      <c r="E67" s="6" t="inlineStr">
        <is>
          <t>Guadagno netto da inizio anno</t>
        </is>
      </c>
      <c r="F67" s="7" t="n">
        <v>23451.32</v>
      </c>
      <c r="G67" s="8" t="n"/>
      <c r="H67" s="9" t="n"/>
      <c r="I67" s="10">
        <f>IF(H67="","",H67-F67)</f>
        <v/>
      </c>
      <c r="J67" s="8" t="n"/>
    </row>
    <row r="68">
      <c r="A68" s="6" t="inlineStr">
        <is>
          <t>D3</t>
        </is>
      </c>
      <c r="B68" s="6" t="inlineStr">
        <is>
          <t>Dashboard</t>
        </is>
      </c>
      <c r="C68" s="6" t="inlineStr">
        <is>
          <t>Forfettario 5%, under 40, al 15 dicembre: saldo, acconti e Quota B già pagati (versamenti senza riferimento, attribuiti dalla data)</t>
        </is>
      </c>
      <c r="D68" s="6" t="inlineStr">
        <is>
          <t>Oggi 15/12/2026. Nato nel 1990, attività dal 2023 con requisiti per il 5%. Incassi 5.000 € al mese (60.000 €). Anno 2025: imposta 2.000 €, nessun acconto, ricavi 50.000 €, reddito 39.000 €. Versamenti senza indicazione: ENPAM 1.194,18 € il 30/4; F24 3.000 € il 20/7; ENPAM 6.542,88 € il 2/11; F24 1.000 € il 30/11.</t>
        </is>
      </c>
      <c r="E68" s="6" t="inlineStr">
        <is>
          <t>Metodo di stima</t>
        </is>
      </c>
      <c r="F68" s="14" t="inlineStr">
        <is>
          <t>imposta annua stimata × frazione d'anno</t>
        </is>
      </c>
      <c r="G68" s="8" t="n"/>
      <c r="H68" s="8" t="n"/>
      <c r="I68" s="15">
        <f>IF(H68="","",IF(H68=F68,"uguale","diverso"))</f>
        <v/>
      </c>
      <c r="J68" s="8" t="n"/>
    </row>
    <row r="69">
      <c r="A69" s="6" t="inlineStr">
        <is>
          <t>D3</t>
        </is>
      </c>
      <c r="B69" s="6" t="inlineStr">
        <is>
          <t>Dashboard</t>
        </is>
      </c>
      <c r="C69" s="6" t="inlineStr">
        <is>
          <t>Forfettario 5%, under 40, al 15 dicembre: saldo, acconti e Quota B già pagati (versamenti senza riferimento, attribuiti dalla data)</t>
        </is>
      </c>
      <c r="D69" s="6" t="inlineStr">
        <is>
          <t>Oggi 15/12/2026. Nato nel 1990, attività dal 2023 con requisiti per il 5%. Incassi 5.000 € al mese (60.000 €). Anno 2025: imposta 2.000 €, nessun acconto, ricavi 50.000 €, reddito 39.000 €. Versamenti senza indicazione: ENPAM 1.194,18 € il 30/4; F24 3.000 € il 20/7; ENPAM 6.542,88 € il 2/11; F24 1.000 € il 30/11.</t>
        </is>
      </c>
      <c r="E69" s="6" t="inlineStr">
        <is>
          <t>Imposte maturate da inizio anno</t>
        </is>
      </c>
      <c r="F69" s="7" t="n">
        <v>1970.11</v>
      </c>
      <c r="G69" s="8" t="n"/>
      <c r="H69" s="9" t="n"/>
      <c r="I69" s="10">
        <f>IF(H69="","",H69-F69)</f>
        <v/>
      </c>
      <c r="J69" s="8" t="n"/>
    </row>
    <row r="70">
      <c r="A70" s="6" t="inlineStr">
        <is>
          <t>D3</t>
        </is>
      </c>
      <c r="B70" s="6" t="inlineStr">
        <is>
          <t>Dashboard</t>
        </is>
      </c>
      <c r="C70" s="6" t="inlineStr">
        <is>
          <t>Forfettario 5%, under 40, al 15 dicembre: saldo, acconti e Quota B già pagati (versamenti senza riferimento, attribuiti dalla data)</t>
        </is>
      </c>
      <c r="D70" s="6" t="inlineStr">
        <is>
          <t>Oggi 15/12/2026. Nato nel 1990, attività dal 2023 con requisiti per il 5%. Incassi 5.000 € al mese (60.000 €). Anno 2025: imposta 2.000 €, nessun acconto, ricavi 50.000 €, reddito 39.000 €. Versamenti senza indicazione: ENPAM 1.194,18 € il 30/4; F24 3.000 € il 20/7; ENPAM 6.542,88 € il 2/11; F24 1.000 € il 30/11.</t>
        </is>
      </c>
      <c r="E70" s="6" t="inlineStr">
        <is>
          <t>Imposte da accantonare (dopo ritenute e acconti versati)</t>
        </is>
      </c>
      <c r="F70" s="7" t="n">
        <v>0</v>
      </c>
      <c r="G70" s="8" t="n"/>
      <c r="H70" s="9" t="n"/>
      <c r="I70" s="10">
        <f>IF(H70="","",H70-F70)</f>
        <v/>
      </c>
      <c r="J70" s="8" t="n"/>
    </row>
    <row r="71">
      <c r="A71" s="6" t="inlineStr">
        <is>
          <t>D3</t>
        </is>
      </c>
      <c r="B71" s="6" t="inlineStr">
        <is>
          <t>Dashboard</t>
        </is>
      </c>
      <c r="C71" s="6" t="inlineStr">
        <is>
          <t>Forfettario 5%, under 40, al 15 dicembre: saldo, acconti e Quota B già pagati (versamenti senza riferimento, attribuiti dalla data)</t>
        </is>
      </c>
      <c r="D71" s="6" t="inlineStr">
        <is>
          <t>Oggi 15/12/2026. Nato nel 1990, attività dal 2023 con requisiti per il 5%. Incassi 5.000 € al mese (60.000 €). Anno 2025: imposta 2.000 €, nessun acconto, ricavi 50.000 €, reddito 39.000 €. Versamenti senza indicazione: ENPAM 1.194,18 € il 30/4; F24 3.000 € il 20/7; ENPAM 6.542,88 € il 2/11; F24 1.000 € il 30/11.</t>
        </is>
      </c>
      <c r="E71" s="6" t="inlineStr">
        <is>
          <t>Quota A ancora da versare</t>
        </is>
      </c>
      <c r="F71" s="7" t="n">
        <v>0</v>
      </c>
      <c r="G71" s="8" t="n"/>
      <c r="H71" s="9" t="n"/>
      <c r="I71" s="10">
        <f>IF(H71="","",H71-F71)</f>
        <v/>
      </c>
      <c r="J71" s="8" t="n"/>
    </row>
    <row r="72">
      <c r="A72" s="6" t="inlineStr">
        <is>
          <t>D3</t>
        </is>
      </c>
      <c r="B72" s="6" t="inlineStr">
        <is>
          <t>Dashboard</t>
        </is>
      </c>
      <c r="C72" s="6" t="inlineStr">
        <is>
          <t>Forfettario 5%, under 40, al 15 dicembre: saldo, acconti e Quota B già pagati (versamenti senza riferimento, attribuiti dalla data)</t>
        </is>
      </c>
      <c r="D72" s="6" t="inlineStr">
        <is>
          <t>Oggi 15/12/2026. Nato nel 1990, attività dal 2023 con requisiti per il 5%. Incassi 5.000 € al mese (60.000 €). Anno 2025: imposta 2.000 €, nessun acconto, ricavi 50.000 €, reddito 39.000 €. Versamenti senza indicazione: ENPAM 1.194,18 € il 30/4; F24 3.000 € il 20/7; ENPAM 6.542,88 € il 2/11; F24 1.000 € il 30/11.</t>
        </is>
      </c>
      <c r="E72" s="6" t="inlineStr">
        <is>
          <t>Quota B maturata (si paga l'anno prossimo)</t>
        </is>
      </c>
      <c r="F72" s="7" t="n">
        <v>8064.73</v>
      </c>
      <c r="G72" s="8" t="n"/>
      <c r="H72" s="9" t="n"/>
      <c r="I72" s="10">
        <f>IF(H72="","",H72-F72)</f>
        <v/>
      </c>
      <c r="J72" s="8" t="n"/>
    </row>
    <row r="73">
      <c r="A73" s="6" t="inlineStr">
        <is>
          <t>D3</t>
        </is>
      </c>
      <c r="B73" s="6" t="inlineStr">
        <is>
          <t>Dashboard</t>
        </is>
      </c>
      <c r="C73" s="6" t="inlineStr">
        <is>
          <t>Forfettario 5%, under 40, al 15 dicembre: saldo, acconti e Quota B già pagati (versamenti senza riferimento, attribuiti dalla data)</t>
        </is>
      </c>
      <c r="D73" s="6" t="inlineStr">
        <is>
          <t>Oggi 15/12/2026. Nato nel 1990, attività dal 2023 con requisiti per il 5%. Incassi 5.000 € al mese (60.000 €). Anno 2025: imposta 2.000 €, nessun acconto, ricavi 50.000 €, reddito 39.000 €. Versamenti senza indicazione: ENPAM 1.194,18 € il 30/4; F24 3.000 € il 20/7; ENPAM 6.542,88 € il 2/11; F24 1.000 € il 30/11.</t>
        </is>
      </c>
      <c r="E73" s="6" t="inlineStr">
        <is>
          <t>IVA da versare</t>
        </is>
      </c>
      <c r="F73" s="7" t="n">
        <v>0</v>
      </c>
      <c r="G73" s="8" t="n"/>
      <c r="H73" s="9" t="n"/>
      <c r="I73" s="10">
        <f>IF(H73="","",H73-F73)</f>
        <v/>
      </c>
      <c r="J73" s="8" t="n"/>
    </row>
    <row r="74">
      <c r="A74" s="6" t="inlineStr">
        <is>
          <t>D3</t>
        </is>
      </c>
      <c r="B74" s="6" t="inlineStr">
        <is>
          <t>Dashboard</t>
        </is>
      </c>
      <c r="C74" s="6" t="inlineStr">
        <is>
          <t>Forfettario 5%, under 40, al 15 dicembre: saldo, acconti e Quota B già pagati (versamenti senza riferimento, attribuiti dalla data)</t>
        </is>
      </c>
      <c r="D74" s="6" t="inlineStr">
        <is>
          <t>Oggi 15/12/2026. Nato nel 1990, attività dal 2023 con requisiti per il 5%. Incassi 5.000 € al mese (60.000 €). Anno 2025: imposta 2.000 €, nessun acconto, ricavi 50.000 €, reddito 39.000 €. Versamenti senza indicazione: ENPAM 1.194,18 € il 30/4; F24 3.000 € il 20/7; ENPAM 6.542,88 € il 2/11; F24 1.000 € il 30/11.</t>
        </is>
      </c>
      <c r="E74" s="6" t="inlineStr">
        <is>
          <t>TOTALE da accantonare</t>
        </is>
      </c>
      <c r="F74" s="7" t="n">
        <v>8064.73</v>
      </c>
      <c r="G74" s="8" t="n"/>
      <c r="H74" s="9" t="n"/>
      <c r="I74" s="10">
        <f>IF(H74="","",H74-F74)</f>
        <v/>
      </c>
      <c r="J74" s="8" t="n"/>
    </row>
    <row r="75">
      <c r="A75" s="6" t="inlineStr">
        <is>
          <t>D3</t>
        </is>
      </c>
      <c r="B75" s="6" t="inlineStr">
        <is>
          <t>Dashboard</t>
        </is>
      </c>
      <c r="C75" s="6" t="inlineStr">
        <is>
          <t>Forfettario 5%, under 40, al 15 dicembre: saldo, acconti e Quota B già pagati (versamenti senza riferimento, attribuiti dalla data)</t>
        </is>
      </c>
      <c r="D75" s="6" t="inlineStr">
        <is>
          <t>Oggi 15/12/2026. Nato nel 1990, attività dal 2023 con requisiti per il 5%. Incassi 5.000 € al mese (60.000 €). Anno 2025: imposta 2.000 €, nessun acconto, ricavi 50.000 €, reddito 39.000 €. Versamenti senza indicazione: ENPAM 1.194,18 € il 30/4; F24 3.000 € il 20/7; ENPAM 6.542,88 € il 2/11; F24 1.000 € il 30/11.</t>
        </is>
      </c>
      <c r="E75" s="6" t="inlineStr">
        <is>
          <t>Impegni dell'anno precedente ancora da pagare</t>
        </is>
      </c>
      <c r="F75" s="7" t="n">
        <v>0</v>
      </c>
      <c r="G75" s="8" t="n"/>
      <c r="H75" s="9" t="n"/>
      <c r="I75" s="10">
        <f>IF(H75="","",H75-F75)</f>
        <v/>
      </c>
      <c r="J75" s="8" t="n"/>
    </row>
    <row r="76">
      <c r="A76" s="6" t="inlineStr">
        <is>
          <t>D3</t>
        </is>
      </c>
      <c r="B76" s="6" t="inlineStr">
        <is>
          <t>Dashboard</t>
        </is>
      </c>
      <c r="C76" s="6" t="inlineStr">
        <is>
          <t>Forfettario 5%, under 40, al 15 dicembre: saldo, acconti e Quota B già pagati (versamenti senza riferimento, attribuiti dalla data)</t>
        </is>
      </c>
      <c r="D76" s="6" t="inlineStr">
        <is>
          <t>Oggi 15/12/2026. Nato nel 1990, attività dal 2023 con requisiti per il 5%. Incassi 5.000 € al mese (60.000 €). Anno 2025: imposta 2.000 €, nessun acconto, ricavi 50.000 €, reddito 39.000 €. Versamenti senza indicazione: ENPAM 1.194,18 € il 30/4; F24 3.000 € il 20/7; ENPAM 6.542,88 € il 2/11; F24 1.000 € il 30/11.</t>
        </is>
      </c>
      <c r="E76" s="6" t="inlineStr">
        <is>
          <t>Guadagno netto da inizio anno</t>
        </is>
      </c>
      <c r="F76" s="7" t="n">
        <v>48823.33</v>
      </c>
      <c r="G76" s="8" t="n"/>
      <c r="H76" s="9" t="n"/>
      <c r="I76" s="10">
        <f>IF(H76="","",H76-F76)</f>
        <v/>
      </c>
      <c r="J76" s="8" t="n"/>
    </row>
    <row r="77">
      <c r="A77" s="6" t="inlineStr">
        <is>
          <t>D4</t>
        </is>
      </c>
      <c r="B77" s="6" t="inlineStr">
        <is>
          <t>Dashboard</t>
        </is>
      </c>
      <c r="C77" s="6" t="inlineStr">
        <is>
          <t>Ordinario, over 40, al 30 giugno: 18.000 € esenti e una perizia da 12.000 € con IVA 22% non ancora versata</t>
        </is>
      </c>
      <c r="D77" s="6" t="inlineStr">
        <is>
          <t>Oggi 30/6/2026. Ordinario, Sardegna, nato nel 1975. Incassati 18.000 € esenti il 10/3 e 12.000 € + IVA 22% il 12/5 (perizia). Nessuna spesa, Quota A non ancora versata. IVA del 2° trimestre (2.640 € + 1% di interessi) da versare il 20/8.</t>
        </is>
      </c>
      <c r="E77" s="6" t="inlineStr">
        <is>
          <t>Metodo di stima</t>
        </is>
      </c>
      <c r="F77" s="14" t="inlineStr">
        <is>
          <t>imposta annua stimata × frazione d'anno</t>
        </is>
      </c>
      <c r="G77" s="8" t="n"/>
      <c r="H77" s="8" t="n"/>
      <c r="I77" s="15">
        <f>IF(H77="","",IF(H77=F77,"uguale","diverso"))</f>
        <v/>
      </c>
      <c r="J77" s="8" t="n"/>
    </row>
    <row r="78">
      <c r="A78" s="6" t="inlineStr">
        <is>
          <t>D4</t>
        </is>
      </c>
      <c r="B78" s="6" t="inlineStr">
        <is>
          <t>Dashboard</t>
        </is>
      </c>
      <c r="C78" s="6" t="inlineStr">
        <is>
          <t>Ordinario, over 40, al 30 giugno: 18.000 € esenti e una perizia da 12.000 € con IVA 22% non ancora versata</t>
        </is>
      </c>
      <c r="D78" s="6" t="inlineStr">
        <is>
          <t>Oggi 30/6/2026. Ordinario, Sardegna, nato nel 1975. Incassati 18.000 € esenti il 10/3 e 12.000 € + IVA 22% il 12/5 (perizia). Nessuna spesa, Quota A non ancora versata. IVA del 2° trimestre (2.640 € + 1% di interessi) da versare il 20/8.</t>
        </is>
      </c>
      <c r="E78" s="6" t="inlineStr">
        <is>
          <t>Imposte maturate da inizio anno</t>
        </is>
      </c>
      <c r="F78" s="7" t="n">
        <v>8932.98</v>
      </c>
      <c r="G78" s="8" t="n"/>
      <c r="H78" s="9" t="n"/>
      <c r="I78" s="10">
        <f>IF(H78="","",H78-F78)</f>
        <v/>
      </c>
      <c r="J78" s="8" t="n"/>
    </row>
    <row r="79">
      <c r="A79" s="6" t="inlineStr">
        <is>
          <t>D4</t>
        </is>
      </c>
      <c r="B79" s="6" t="inlineStr">
        <is>
          <t>Dashboard</t>
        </is>
      </c>
      <c r="C79" s="6" t="inlineStr">
        <is>
          <t>Ordinario, over 40, al 30 giugno: 18.000 € esenti e una perizia da 12.000 € con IVA 22% non ancora versata</t>
        </is>
      </c>
      <c r="D79" s="6" t="inlineStr">
        <is>
          <t>Oggi 30/6/2026. Ordinario, Sardegna, nato nel 1975. Incassati 18.000 € esenti il 10/3 e 12.000 € + IVA 22% il 12/5 (perizia). Nessuna spesa, Quota A non ancora versata. IVA del 2° trimestre (2.640 € + 1% di interessi) da versare il 20/8.</t>
        </is>
      </c>
      <c r="E79" s="6" t="inlineStr">
        <is>
          <t>Imposte da accantonare (dopo ritenute e acconti versati)</t>
        </is>
      </c>
      <c r="F79" s="7" t="n">
        <v>8932.98</v>
      </c>
      <c r="G79" s="8" t="n"/>
      <c r="H79" s="9" t="n"/>
      <c r="I79" s="10">
        <f>IF(H79="","",H79-F79)</f>
        <v/>
      </c>
      <c r="J79" s="8" t="n"/>
    </row>
    <row r="80">
      <c r="A80" s="6" t="inlineStr">
        <is>
          <t>D4</t>
        </is>
      </c>
      <c r="B80" s="6" t="inlineStr">
        <is>
          <t>Dashboard</t>
        </is>
      </c>
      <c r="C80" s="6" t="inlineStr">
        <is>
          <t>Ordinario, over 40, al 30 giugno: 18.000 € esenti e una perizia da 12.000 € con IVA 22% non ancora versata</t>
        </is>
      </c>
      <c r="D80" s="6" t="inlineStr">
        <is>
          <t>Oggi 30/6/2026. Ordinario, Sardegna, nato nel 1975. Incassati 18.000 € esenti il 10/3 e 12.000 € + IVA 22% il 12/5 (perizia). Nessuna spesa, Quota A non ancora versata. IVA del 2° trimestre (2.640 € + 1% di interessi) da versare il 20/8.</t>
        </is>
      </c>
      <c r="E80" s="6" t="inlineStr">
        <is>
          <t>Quota A ancora da versare</t>
        </is>
      </c>
      <c r="F80" s="7" t="n">
        <v>2134.09</v>
      </c>
      <c r="G80" s="8" t="n"/>
      <c r="H80" s="9" t="n"/>
      <c r="I80" s="10">
        <f>IF(H80="","",H80-F80)</f>
        <v/>
      </c>
      <c r="J80" s="8" t="n"/>
    </row>
    <row r="81">
      <c r="A81" s="6" t="inlineStr">
        <is>
          <t>D4</t>
        </is>
      </c>
      <c r="B81" s="6" t="inlineStr">
        <is>
          <t>Dashboard</t>
        </is>
      </c>
      <c r="C81" s="6" t="inlineStr">
        <is>
          <t>Ordinario, over 40, al 30 giugno: 18.000 € esenti e una perizia da 12.000 € con IVA 22% non ancora versata</t>
        </is>
      </c>
      <c r="D81" s="6" t="inlineStr">
        <is>
          <t>Oggi 30/6/2026. Ordinario, Sardegna, nato nel 1975. Incassati 18.000 € esenti il 10/3 e 12.000 € + IVA 22% il 12/5 (perizia). Nessuna spesa, Quota A non ancora versata. IVA del 2° trimestre (2.640 € + 1% di interessi) da versare il 20/8.</t>
        </is>
      </c>
      <c r="E81" s="6" t="inlineStr">
        <is>
          <t>Quota B maturata (si paga l'anno prossimo)</t>
        </is>
      </c>
      <c r="F81" s="7" t="n">
        <v>4833.51</v>
      </c>
      <c r="G81" s="8" t="n"/>
      <c r="H81" s="9" t="n"/>
      <c r="I81" s="10">
        <f>IF(H81="","",H81-F81)</f>
        <v/>
      </c>
      <c r="J81" s="8" t="n"/>
    </row>
    <row r="82">
      <c r="A82" s="6" t="inlineStr">
        <is>
          <t>D4</t>
        </is>
      </c>
      <c r="B82" s="6" t="inlineStr">
        <is>
          <t>Dashboard</t>
        </is>
      </c>
      <c r="C82" s="6" t="inlineStr">
        <is>
          <t>Ordinario, over 40, al 30 giugno: 18.000 € esenti e una perizia da 12.000 € con IVA 22% non ancora versata</t>
        </is>
      </c>
      <c r="D82" s="6" t="inlineStr">
        <is>
          <t>Oggi 30/6/2026. Ordinario, Sardegna, nato nel 1975. Incassati 18.000 € esenti il 10/3 e 12.000 € + IVA 22% il 12/5 (perizia). Nessuna spesa, Quota A non ancora versata. IVA del 2° trimestre (2.640 € + 1% di interessi) da versare il 20/8.</t>
        </is>
      </c>
      <c r="E82" s="6" t="inlineStr">
        <is>
          <t>IVA da versare</t>
        </is>
      </c>
      <c r="F82" s="7" t="n">
        <v>2666.4</v>
      </c>
      <c r="G82" s="8" t="n"/>
      <c r="H82" s="9" t="n"/>
      <c r="I82" s="10">
        <f>IF(H82="","",H82-F82)</f>
        <v/>
      </c>
      <c r="J82" s="8" t="n"/>
    </row>
    <row r="83">
      <c r="A83" s="6" t="inlineStr">
        <is>
          <t>D4</t>
        </is>
      </c>
      <c r="B83" s="6" t="inlineStr">
        <is>
          <t>Dashboard</t>
        </is>
      </c>
      <c r="C83" s="6" t="inlineStr">
        <is>
          <t>Ordinario, over 40, al 30 giugno: 18.000 € esenti e una perizia da 12.000 € con IVA 22% non ancora versata</t>
        </is>
      </c>
      <c r="D83" s="6" t="inlineStr">
        <is>
          <t>Oggi 30/6/2026. Ordinario, Sardegna, nato nel 1975. Incassati 18.000 € esenti il 10/3 e 12.000 € + IVA 22% il 12/5 (perizia). Nessuna spesa, Quota A non ancora versata. IVA del 2° trimestre (2.640 € + 1% di interessi) da versare il 20/8.</t>
        </is>
      </c>
      <c r="E83" s="6" t="inlineStr">
        <is>
          <t>TOTALE da accantonare</t>
        </is>
      </c>
      <c r="F83" s="7" t="n">
        <v>18566.98</v>
      </c>
      <c r="G83" s="8" t="n"/>
      <c r="H83" s="9" t="n"/>
      <c r="I83" s="10">
        <f>IF(H83="","",H83-F83)</f>
        <v/>
      </c>
      <c r="J83" s="8" t="n"/>
    </row>
    <row r="84">
      <c r="A84" s="6" t="inlineStr">
        <is>
          <t>D4</t>
        </is>
      </c>
      <c r="B84" s="6" t="inlineStr">
        <is>
          <t>Dashboard</t>
        </is>
      </c>
      <c r="C84" s="6" t="inlineStr">
        <is>
          <t>Ordinario, over 40, al 30 giugno: 18.000 € esenti e una perizia da 12.000 € con IVA 22% non ancora versata</t>
        </is>
      </c>
      <c r="D84" s="6" t="inlineStr">
        <is>
          <t>Oggi 30/6/2026. Ordinario, Sardegna, nato nel 1975. Incassati 18.000 € esenti il 10/3 e 12.000 € + IVA 22% il 12/5 (perizia). Nessuna spesa, Quota A non ancora versata. IVA del 2° trimestre (2.640 € + 1% di interessi) da versare il 20/8.</t>
        </is>
      </c>
      <c r="E84" s="6" t="inlineStr">
        <is>
          <t>Guadagno netto da inizio anno</t>
        </is>
      </c>
      <c r="F84" s="7" t="n">
        <v>15175.24</v>
      </c>
      <c r="G84" s="8" t="n"/>
      <c r="H84" s="9" t="n"/>
      <c r="I84" s="10">
        <f>IF(H84="","",H84-F84)</f>
        <v/>
      </c>
      <c r="J84" s="8" t="n"/>
    </row>
    <row r="85">
      <c r="A85" s="6" t="inlineStr">
        <is>
          <t>D5</t>
        </is>
      </c>
      <c r="B85" s="6" t="inlineStr">
        <is>
          <t>Dashboard</t>
        </is>
      </c>
      <c r="C85" s="6" t="inlineStr">
        <is>
          <t>Forfettario 15%, over 40, al 20 febbraio: pochi dati, imposte stimate con l'aliquota effettiva del 2025 (9.000 / 80.000 = 11,25%)</t>
        </is>
      </c>
      <c r="D85" s="6" t="inlineStr">
        <is>
          <t>Oggi 20/2/2026 (51° giorno: proiezione non affidabile). Nato nel 1975, aliquota 15%. Incassati 7.000 € il 15/1 e 6.000 € il 10/2. Anno 2025: imposta 9.000 €, acconti 7.000 €, ricavi 80.000 €, reddito 62.400 €. Nessun versamento nel 2026.</t>
        </is>
      </c>
      <c r="E85" s="6" t="inlineStr">
        <is>
          <t>Metodo di stima</t>
        </is>
      </c>
      <c r="F85" s="14" t="inlineStr">
        <is>
          <t>aliquota effettiva dell'anno precedente</t>
        </is>
      </c>
      <c r="G85" s="8" t="n"/>
      <c r="H85" s="8" t="n"/>
      <c r="I85" s="15">
        <f>IF(H85="","",IF(H85=F85,"uguale","diverso"))</f>
        <v/>
      </c>
      <c r="J85" s="8" t="n"/>
    </row>
    <row r="86">
      <c r="A86" s="6" t="inlineStr">
        <is>
          <t>D5</t>
        </is>
      </c>
      <c r="B86" s="6" t="inlineStr">
        <is>
          <t>Dashboard</t>
        </is>
      </c>
      <c r="C86" s="6" t="inlineStr">
        <is>
          <t>Forfettario 15%, over 40, al 20 febbraio: pochi dati, imposte stimate con l'aliquota effettiva del 2025 (9.000 / 80.000 = 11,25%)</t>
        </is>
      </c>
      <c r="D86" s="6" t="inlineStr">
        <is>
          <t>Oggi 20/2/2026 (51° giorno: proiezione non affidabile). Nato nel 1975, aliquota 15%. Incassati 7.000 € il 15/1 e 6.000 € il 10/2. Anno 2025: imposta 9.000 €, acconti 7.000 €, ricavi 80.000 €, reddito 62.400 €. Nessun versamento nel 2026.</t>
        </is>
      </c>
      <c r="E86" s="6" t="inlineStr">
        <is>
          <t>Imposte maturate da inizio anno</t>
        </is>
      </c>
      <c r="F86" s="7" t="n">
        <v>1462.5</v>
      </c>
      <c r="G86" s="8" t="n"/>
      <c r="H86" s="9" t="n"/>
      <c r="I86" s="10">
        <f>IF(H86="","",H86-F86)</f>
        <v/>
      </c>
      <c r="J86" s="8" t="n"/>
    </row>
    <row r="87">
      <c r="A87" s="6" t="inlineStr">
        <is>
          <t>D5</t>
        </is>
      </c>
      <c r="B87" s="6" t="inlineStr">
        <is>
          <t>Dashboard</t>
        </is>
      </c>
      <c r="C87" s="6" t="inlineStr">
        <is>
          <t>Forfettario 15%, over 40, al 20 febbraio: pochi dati, imposte stimate con l'aliquota effettiva del 2025 (9.000 / 80.000 = 11,25%)</t>
        </is>
      </c>
      <c r="D87" s="6" t="inlineStr">
        <is>
          <t>Oggi 20/2/2026 (51° giorno: proiezione non affidabile). Nato nel 1975, aliquota 15%. Incassati 7.000 € il 15/1 e 6.000 € il 10/2. Anno 2025: imposta 9.000 €, acconti 7.000 €, ricavi 80.000 €, reddito 62.400 €. Nessun versamento nel 2026.</t>
        </is>
      </c>
      <c r="E87" s="6" t="inlineStr">
        <is>
          <t>Imposte da accantonare (dopo ritenute e acconti versati)</t>
        </is>
      </c>
      <c r="F87" s="7" t="n">
        <v>1462.5</v>
      </c>
      <c r="G87" s="8" t="n"/>
      <c r="H87" s="9" t="n"/>
      <c r="I87" s="10">
        <f>IF(H87="","",H87-F87)</f>
        <v/>
      </c>
      <c r="J87" s="8" t="n"/>
    </row>
    <row r="88">
      <c r="A88" s="6" t="inlineStr">
        <is>
          <t>D5</t>
        </is>
      </c>
      <c r="B88" s="6" t="inlineStr">
        <is>
          <t>Dashboard</t>
        </is>
      </c>
      <c r="C88" s="6" t="inlineStr">
        <is>
          <t>Forfettario 15%, over 40, al 20 febbraio: pochi dati, imposte stimate con l'aliquota effettiva del 2025 (9.000 / 80.000 = 11,25%)</t>
        </is>
      </c>
      <c r="D88" s="6" t="inlineStr">
        <is>
          <t>Oggi 20/2/2026 (51° giorno: proiezione non affidabile). Nato nel 1975, aliquota 15%. Incassati 7.000 € il 15/1 e 6.000 € il 10/2. Anno 2025: imposta 9.000 €, acconti 7.000 €, ricavi 80.000 €, reddito 62.400 €. Nessun versamento nel 2026.</t>
        </is>
      </c>
      <c r="E88" s="6" t="inlineStr">
        <is>
          <t>Quota A ancora da versare</t>
        </is>
      </c>
      <c r="F88" s="7" t="n">
        <v>2134.09</v>
      </c>
      <c r="G88" s="8" t="n"/>
      <c r="H88" s="9" t="n"/>
      <c r="I88" s="10">
        <f>IF(H88="","",H88-F88)</f>
        <v/>
      </c>
      <c r="J88" s="8" t="n"/>
    </row>
    <row r="89">
      <c r="A89" s="6" t="inlineStr">
        <is>
          <t>D5</t>
        </is>
      </c>
      <c r="B89" s="6" t="inlineStr">
        <is>
          <t>Dashboard</t>
        </is>
      </c>
      <c r="C89" s="6" t="inlineStr">
        <is>
          <t>Forfettario 15%, over 40, al 20 febbraio: pochi dati, imposte stimate con l'aliquota effettiva del 2025 (9.000 / 80.000 = 11,25%)</t>
        </is>
      </c>
      <c r="D89" s="6" t="inlineStr">
        <is>
          <t>Oggi 20/2/2026 (51° giorno: proiezione non affidabile). Nato nel 1975, aliquota 15%. Incassati 7.000 € il 15/1 e 6.000 € il 10/2. Anno 2025: imposta 9.000 €, acconti 7.000 €, ricavi 80.000 €, reddito 62.400 €. Nessun versamento nel 2026.</t>
        </is>
      </c>
      <c r="E89" s="6" t="inlineStr">
        <is>
          <t>Quota B maturata (si paga l'anno prossimo)</t>
        </is>
      </c>
      <c r="F89" s="7" t="n">
        <v>1690.89</v>
      </c>
      <c r="G89" s="8" t="n"/>
      <c r="H89" s="9" t="n"/>
      <c r="I89" s="10">
        <f>IF(H89="","",H89-F89)</f>
        <v/>
      </c>
      <c r="J89" s="8" t="n"/>
    </row>
    <row r="90">
      <c r="A90" s="6" t="inlineStr">
        <is>
          <t>D5</t>
        </is>
      </c>
      <c r="B90" s="6" t="inlineStr">
        <is>
          <t>Dashboard</t>
        </is>
      </c>
      <c r="C90" s="6" t="inlineStr">
        <is>
          <t>Forfettario 15%, over 40, al 20 febbraio: pochi dati, imposte stimate con l'aliquota effettiva del 2025 (9.000 / 80.000 = 11,25%)</t>
        </is>
      </c>
      <c r="D90" s="6" t="inlineStr">
        <is>
          <t>Oggi 20/2/2026 (51° giorno: proiezione non affidabile). Nato nel 1975, aliquota 15%. Incassati 7.000 € il 15/1 e 6.000 € il 10/2. Anno 2025: imposta 9.000 €, acconti 7.000 €, ricavi 80.000 €, reddito 62.400 €. Nessun versamento nel 2026.</t>
        </is>
      </c>
      <c r="E90" s="6" t="inlineStr">
        <is>
          <t>IVA da versare</t>
        </is>
      </c>
      <c r="F90" s="7" t="n">
        <v>0</v>
      </c>
      <c r="G90" s="8" t="n"/>
      <c r="H90" s="9" t="n"/>
      <c r="I90" s="10">
        <f>IF(H90="","",H90-F90)</f>
        <v/>
      </c>
      <c r="J90" s="8" t="n"/>
    </row>
    <row r="91">
      <c r="A91" s="6" t="inlineStr">
        <is>
          <t>D5</t>
        </is>
      </c>
      <c r="B91" s="6" t="inlineStr">
        <is>
          <t>Dashboard</t>
        </is>
      </c>
      <c r="C91" s="6" t="inlineStr">
        <is>
          <t>Forfettario 15%, over 40, al 20 febbraio: pochi dati, imposte stimate con l'aliquota effettiva del 2025 (9.000 / 80.000 = 11,25%)</t>
        </is>
      </c>
      <c r="D91" s="6" t="inlineStr">
        <is>
          <t>Oggi 20/2/2026 (51° giorno: proiezione non affidabile). Nato nel 1975, aliquota 15%. Incassati 7.000 € il 15/1 e 6.000 € il 10/2. Anno 2025: imposta 9.000 €, acconti 7.000 €, ricavi 80.000 €, reddito 62.400 €. Nessun versamento nel 2026.</t>
        </is>
      </c>
      <c r="E91" s="6" t="inlineStr">
        <is>
          <t>TOTALE da accantonare</t>
        </is>
      </c>
      <c r="F91" s="7" t="n">
        <v>5287.48</v>
      </c>
      <c r="G91" s="8" t="n"/>
      <c r="H91" s="9" t="n"/>
      <c r="I91" s="10">
        <f>IF(H91="","",H91-F91)</f>
        <v/>
      </c>
      <c r="J91" s="8" t="n"/>
    </row>
    <row r="92">
      <c r="A92" s="6" t="inlineStr">
        <is>
          <t>D5</t>
        </is>
      </c>
      <c r="B92" s="6" t="inlineStr">
        <is>
          <t>Dashboard</t>
        </is>
      </c>
      <c r="C92" s="6" t="inlineStr">
        <is>
          <t>Forfettario 15%, over 40, al 20 febbraio: pochi dati, imposte stimate con l'aliquota effettiva del 2025 (9.000 / 80.000 = 11,25%)</t>
        </is>
      </c>
      <c r="D92" s="6" t="inlineStr">
        <is>
          <t>Oggi 20/2/2026 (51° giorno: proiezione non affidabile). Nato nel 1975, aliquota 15%. Incassati 7.000 € il 15/1 e 6.000 € il 10/2. Anno 2025: imposta 9.000 €, acconti 7.000 €, ricavi 80.000 €, reddito 62.400 €. Nessun versamento nel 2026.</t>
        </is>
      </c>
      <c r="E92" s="6" t="inlineStr">
        <is>
          <t>Impegni dell'anno precedente ancora da pagare</t>
        </is>
      </c>
      <c r="F92" s="7" t="n">
        <v>12206.44</v>
      </c>
      <c r="G92" s="8" t="n"/>
      <c r="H92" s="9" t="n"/>
      <c r="I92" s="10">
        <f>IF(H92="","",H92-F92)</f>
        <v/>
      </c>
      <c r="J92" s="8" t="n"/>
    </row>
    <row r="93">
      <c r="A93" s="6" t="inlineStr">
        <is>
          <t>D5</t>
        </is>
      </c>
      <c r="B93" s="6" t="inlineStr">
        <is>
          <t>Dashboard</t>
        </is>
      </c>
      <c r="C93" s="6" t="inlineStr">
        <is>
          <t>Forfettario 15%, over 40, al 20 febbraio: pochi dati, imposte stimate con l'aliquota effettiva del 2025 (9.000 / 80.000 = 11,25%)</t>
        </is>
      </c>
      <c r="D93" s="6" t="inlineStr">
        <is>
          <t>Oggi 20/2/2026 (51° giorno: proiezione non affidabile). Nato nel 1975, aliquota 15%. Incassati 7.000 € il 15/1 e 6.000 € il 10/2. Anno 2025: imposta 9.000 €, acconti 7.000 €, ricavi 80.000 €, reddito 62.400 €. Nessun versamento nel 2026.</t>
        </is>
      </c>
      <c r="E93" s="6" t="inlineStr">
        <is>
          <t>Guadagno netto da inizio anno</t>
        </is>
      </c>
      <c r="F93" s="7" t="n">
        <v>9548.42</v>
      </c>
      <c r="G93" s="8" t="n"/>
      <c r="H93" s="9" t="n"/>
      <c r="I93" s="10">
        <f>IF(H93="","",H93-F93)</f>
        <v/>
      </c>
      <c r="J93" s="8" t="n"/>
    </row>
    <row r="95">
      <c r="E95" s="16" t="inlineStr">
        <is>
          <t>Righe verificate (Sì + No)</t>
        </is>
      </c>
      <c r="F95" s="17">
        <f>COUNTIF(G2:G93,"Sì")+COUNTIF(G2:G93,"No")</f>
        <v/>
      </c>
    </row>
    <row r="96">
      <c r="E96" s="16" t="inlineStr">
        <is>
          <t>Righe da correggere (No)</t>
        </is>
      </c>
      <c r="F96" s="17">
        <f>COUNTIF(G2:G93,"No")</f>
        <v/>
      </c>
    </row>
    <row r="97">
      <c r="E97" s="16" t="inlineStr">
        <is>
          <t>Righe totali</t>
        </is>
      </c>
      <c r="F97" s="17">
        <f>COUNTA(A2:A93)</f>
        <v/>
      </c>
    </row>
  </sheetData>
  <autoFilter ref="A1:J93"/>
  <conditionalFormatting sqref="A2:J93">
    <cfRule type="expression" priority="1" dxfId="0">
      <formula>$G2="No"</formula>
    </cfRule>
    <cfRule type="expression" priority="2" dxfId="1">
      <formula>$G2="Sì"</formula>
    </cfRule>
  </conditionalFormatting>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showDropDown="0" showInputMessage="0" showErrorMessage="0" allowBlank="1" type="list">
      <formula1>"Sì,No"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1"/>
  <sheetViews>
    <sheetView workbookViewId="0">
      <pane ySplit="1" topLeftCell="A2" activePane="bottomLeft" state="frozen"/>
      <selection pane="bottomLeft" activeCell="A1" sqref="A1"/>
    </sheetView>
  </sheetViews>
  <sheetFormatPr baseColWidth="8" defaultRowHeight="15"/>
  <cols>
    <col width="22" customWidth="1" min="1" max="1"/>
    <col width="48" customWidth="1" min="2" max="2"/>
    <col width="34" customWidth="1" min="3" max="3"/>
    <col width="55" customWidth="1" min="4" max="4"/>
    <col width="50" customWidth="1" min="5" max="5"/>
    <col width="14" customWidth="1" min="6" max="6"/>
    <col width="12" customWidth="1" min="7" max="7"/>
    <col width="40" customWidth="1" min="8" max="8"/>
  </cols>
  <sheetData>
    <row r="1">
      <c r="A1" s="5" t="inlineStr">
        <is>
          <t>Gruppo</t>
        </is>
      </c>
      <c r="B1" s="5" t="inlineStr">
        <is>
          <t>Parametro</t>
        </is>
      </c>
      <c r="C1" s="5" t="inlineStr">
        <is>
          <t>Valore usato dall'app</t>
        </is>
      </c>
      <c r="D1" s="5" t="inlineStr">
        <is>
          <t>Fonte</t>
        </is>
      </c>
      <c r="E1" s="5" t="inlineStr">
        <is>
          <t>Nota</t>
        </is>
      </c>
      <c r="F1" s="5" t="inlineStr">
        <is>
          <t>Verificato</t>
        </is>
      </c>
      <c r="G1" s="5" t="inlineStr">
        <is>
          <t>Confermato?</t>
        </is>
      </c>
      <c r="H1" s="5" t="inlineStr">
        <is>
          <t>Valore corretto / commento</t>
        </is>
      </c>
    </row>
    <row r="2">
      <c r="A2" s="6" t="inlineStr">
        <is>
          <t>Forfettario</t>
        </is>
      </c>
      <c r="B2" s="6" t="inlineStr">
        <is>
          <t>Limite ricavi</t>
        </is>
      </c>
      <c r="C2" s="18" t="inlineStr">
        <is>
          <t>85.000,00 €</t>
        </is>
      </c>
      <c r="D2" s="6" t="inlineStr">
        <is>
          <t>L. 190/2014 art. 1 c. 54-89; coefficiente ATECO 86.2x = 78%</t>
        </is>
      </c>
      <c r="E2" s="6" t="inlineStr"/>
      <c r="F2" s="6" t="inlineStr">
        <is>
          <t>da verificare</t>
        </is>
      </c>
      <c r="G2" s="8" t="n"/>
      <c r="H2" s="8" t="n"/>
    </row>
    <row r="3">
      <c r="A3" s="6" t="inlineStr">
        <is>
          <t>Forfettario</t>
        </is>
      </c>
      <c r="B3" s="6" t="inlineStr">
        <is>
          <t>Uscita immediata oltre</t>
        </is>
      </c>
      <c r="C3" s="18" t="inlineStr">
        <is>
          <t>100.000,00 €</t>
        </is>
      </c>
      <c r="D3" s="6" t="inlineStr">
        <is>
          <t>L. 190/2014 art. 1 c. 54-89; coefficiente ATECO 86.2x = 78%</t>
        </is>
      </c>
      <c r="E3" s="6" t="inlineStr"/>
      <c r="F3" s="6" t="inlineStr">
        <is>
          <t>da verificare</t>
        </is>
      </c>
      <c r="G3" s="8" t="n"/>
      <c r="H3" s="8" t="n"/>
    </row>
    <row r="4">
      <c r="A4" s="6" t="inlineStr">
        <is>
          <t>Forfettario</t>
        </is>
      </c>
      <c r="B4" s="6" t="inlineStr">
        <is>
          <t>Coefficiente di redditività (ATECO 86.2x)</t>
        </is>
      </c>
      <c r="C4" s="18" t="inlineStr">
        <is>
          <t>78%</t>
        </is>
      </c>
      <c r="D4" s="6" t="inlineStr">
        <is>
          <t>L. 190/2014 art. 1 c. 54-89; coefficiente ATECO 86.2x = 78%</t>
        </is>
      </c>
      <c r="E4" s="6" t="inlineStr"/>
      <c r="F4" s="6" t="inlineStr">
        <is>
          <t>da verificare</t>
        </is>
      </c>
      <c r="G4" s="8" t="n"/>
      <c r="H4" s="8" t="n"/>
    </row>
    <row r="5">
      <c r="A5" s="6" t="inlineStr">
        <is>
          <t>Forfettario</t>
        </is>
      </c>
      <c r="B5" s="6" t="inlineStr">
        <is>
          <t>Aliquota startup (primi 5 anni)</t>
        </is>
      </c>
      <c r="C5" s="18" t="inlineStr">
        <is>
          <t>5%</t>
        </is>
      </c>
      <c r="D5" s="6" t="inlineStr">
        <is>
          <t>L. 190/2014 art. 1 c. 54-89; coefficiente ATECO 86.2x = 78%</t>
        </is>
      </c>
      <c r="E5" s="6" t="inlineStr"/>
      <c r="F5" s="6" t="inlineStr">
        <is>
          <t>da verificare</t>
        </is>
      </c>
      <c r="G5" s="8" t="n"/>
      <c r="H5" s="8" t="n"/>
    </row>
    <row r="6">
      <c r="A6" s="6" t="inlineStr">
        <is>
          <t>Forfettario</t>
        </is>
      </c>
      <c r="B6" s="6" t="inlineStr">
        <is>
          <t>Aliquota ordinaria</t>
        </is>
      </c>
      <c r="C6" s="18" t="inlineStr">
        <is>
          <t>15%</t>
        </is>
      </c>
      <c r="D6" s="6" t="inlineStr">
        <is>
          <t>L. 190/2014 art. 1 c. 54-89; coefficiente ATECO 86.2x = 78%</t>
        </is>
      </c>
      <c r="E6" s="6" t="inlineStr"/>
      <c r="F6" s="6" t="inlineStr">
        <is>
          <t>da verificare</t>
        </is>
      </c>
      <c r="G6" s="8" t="n"/>
      <c r="H6" s="8" t="n"/>
    </row>
    <row r="7">
      <c r="A7" s="6" t="inlineStr">
        <is>
          <t>Forfettario: redditi da lavoro dipendente</t>
        </is>
      </c>
      <c r="B7" s="6" t="inlineStr">
        <is>
          <t>Soglia 2026 (redditi 2025)</t>
        </is>
      </c>
      <c r="C7" s="18" t="inlineStr">
        <is>
          <t>35.000,00 €</t>
        </is>
      </c>
      <c r="D7" s="6" t="inlineStr">
        <is>
          <t>L. 190/2014 art. 1 c. 57 lett. d-ter</t>
        </is>
      </c>
      <c r="E7" s="6" t="inlineStr">
        <is>
          <t>Da confermare dal commercialista.</t>
        </is>
      </c>
      <c r="F7" s="6" t="inlineStr">
        <is>
          <t>da verificare</t>
        </is>
      </c>
      <c r="G7" s="8" t="n"/>
      <c r="H7" s="8" t="n"/>
    </row>
    <row r="8">
      <c r="A8" s="6" t="inlineStr">
        <is>
          <t>Forfettario: redditi da lavoro dipendente</t>
        </is>
      </c>
      <c r="B8" s="6" t="inlineStr">
        <is>
          <t>Soglia 2027 provvisoria (redditi 2026)</t>
        </is>
      </c>
      <c r="C8" s="18" t="inlineStr">
        <is>
          <t>30.000,00 €</t>
        </is>
      </c>
      <c r="D8" s="6" t="inlineStr">
        <is>
          <t>L. 190/2014 art. 1 c. 57 lett. d-ter</t>
        </is>
      </c>
      <c r="E8" s="6" t="inlineStr">
        <is>
          <t>da rivedere dopo la legge di bilancio 2027</t>
        </is>
      </c>
      <c r="F8" s="6" t="inlineStr">
        <is>
          <t>da verificare</t>
        </is>
      </c>
      <c r="G8" s="8" t="n"/>
      <c r="H8" s="8" t="n"/>
    </row>
    <row r="9">
      <c r="A9" s="6" t="inlineStr">
        <is>
          <t>IRPEF 2026</t>
        </is>
      </c>
      <c r="B9" s="6" t="inlineStr">
        <is>
          <t>Scaglione 1: 0 – 28.000,00 €</t>
        </is>
      </c>
      <c r="C9" s="18" t="inlineStr">
        <is>
          <t>23%</t>
        </is>
      </c>
      <c r="D9" s="6" t="inlineStr">
        <is>
          <t>L. 199/2025 (Legge di Bilancio 2026) art. 1 c. 3</t>
        </is>
      </c>
      <c r="E9" s="6" t="inlineStr"/>
      <c r="F9" s="6" t="inlineStr">
        <is>
          <t>da verificare</t>
        </is>
      </c>
      <c r="G9" s="8" t="n"/>
      <c r="H9" s="8" t="n"/>
    </row>
    <row r="10">
      <c r="A10" s="6" t="inlineStr">
        <is>
          <t>IRPEF 2026</t>
        </is>
      </c>
      <c r="B10" s="6" t="inlineStr">
        <is>
          <t>Scaglione 2: 28.000,00 € – 50.000,00 €</t>
        </is>
      </c>
      <c r="C10" s="18" t="inlineStr">
        <is>
          <t>33%</t>
        </is>
      </c>
      <c r="D10" s="6" t="inlineStr">
        <is>
          <t>L. 199/2025 (Legge di Bilancio 2026) art. 1 c. 3</t>
        </is>
      </c>
      <c r="E10" s="6" t="inlineStr"/>
      <c r="F10" s="6" t="inlineStr">
        <is>
          <t>da verificare</t>
        </is>
      </c>
      <c r="G10" s="8" t="n"/>
      <c r="H10" s="8" t="n"/>
    </row>
    <row r="11">
      <c r="A11" s="6" t="inlineStr">
        <is>
          <t>IRPEF 2026</t>
        </is>
      </c>
      <c r="B11" s="6" t="inlineStr">
        <is>
          <t>Scaglione 3: 50.000,00 € – oltre</t>
        </is>
      </c>
      <c r="C11" s="18" t="inlineStr">
        <is>
          <t>43%</t>
        </is>
      </c>
      <c r="D11" s="6" t="inlineStr">
        <is>
          <t>L. 199/2025 (Legge di Bilancio 2026) art. 1 c. 3</t>
        </is>
      </c>
      <c r="E11" s="6" t="inlineStr"/>
      <c r="F11" s="6" t="inlineStr">
        <is>
          <t>da verificare</t>
        </is>
      </c>
      <c r="G11" s="8" t="n"/>
      <c r="H11" s="8" t="n"/>
    </row>
    <row r="12">
      <c r="A12" s="6" t="inlineStr">
        <is>
          <t>Detrazione lavoro autonomo</t>
        </is>
      </c>
      <c r="B12" s="6" t="inlineStr">
        <is>
          <t>Fino a 5.500,00 €</t>
        </is>
      </c>
      <c r="C12" s="18" t="inlineStr">
        <is>
          <t>1.265,00 €</t>
        </is>
      </c>
      <c r="D12" s="6" t="inlineStr">
        <is>
          <t>Art. 13 c. 5 TUIR</t>
        </is>
      </c>
      <c r="E12" s="6" t="inlineStr"/>
      <c r="F12" s="6" t="inlineStr">
        <is>
          <t>da verificare</t>
        </is>
      </c>
      <c r="G12" s="8" t="n"/>
      <c r="H12" s="8" t="n"/>
    </row>
    <row r="13">
      <c r="A13" s="6" t="inlineStr">
        <is>
          <t>Detrazione lavoro autonomo</t>
        </is>
      </c>
      <c r="B13" s="6" t="inlineStr">
        <is>
          <t>Da 5.500,00 € a 28.000,00 €</t>
        </is>
      </c>
      <c r="C13" s="18" t="inlineStr">
        <is>
          <t>500,00 € + 765,00 € × (28.000 − reddito) / 22.500</t>
        </is>
      </c>
      <c r="D13" s="6" t="inlineStr">
        <is>
          <t>Art. 13 c. 5 TUIR</t>
        </is>
      </c>
      <c r="E13" s="6" t="inlineStr"/>
      <c r="F13" s="6" t="inlineStr">
        <is>
          <t>da verificare</t>
        </is>
      </c>
      <c r="G13" s="8" t="n"/>
      <c r="H13" s="8" t="n"/>
    </row>
    <row r="14">
      <c r="A14" s="6" t="inlineStr">
        <is>
          <t>Detrazione lavoro autonomo</t>
        </is>
      </c>
      <c r="B14" s="6" t="inlineStr">
        <is>
          <t>Da 28.000,00 € a 50.000,00 €</t>
        </is>
      </c>
      <c r="C14" s="18" t="inlineStr">
        <is>
          <t>500,00 € × (50.000 − reddito) / 22.000</t>
        </is>
      </c>
      <c r="D14" s="6" t="inlineStr">
        <is>
          <t>Art. 13 c. 5 TUIR</t>
        </is>
      </c>
      <c r="E14" s="6" t="inlineStr"/>
      <c r="F14" s="6" t="inlineStr">
        <is>
          <t>da verificare</t>
        </is>
      </c>
      <c r="G14" s="8" t="n"/>
      <c r="H14" s="8" t="n"/>
    </row>
    <row r="15">
      <c r="A15" s="6" t="inlineStr">
        <is>
          <t>Acconti</t>
        </is>
      </c>
      <c r="B15" s="6" t="inlineStr">
        <is>
          <t>Nessun acconto sotto</t>
        </is>
      </c>
      <c r="C15" s="18" t="inlineStr">
        <is>
          <t>51,65 €</t>
        </is>
      </c>
      <c r="D15" s="6" t="inlineStr">
        <is>
          <t>Art. 17 DPR 435/2001; soggetti ISA e forfettari in due rate da 50%</t>
        </is>
      </c>
      <c r="E15" s="6" t="inlineStr"/>
      <c r="F15" s="6" t="inlineStr">
        <is>
          <t>da verificare</t>
        </is>
      </c>
      <c r="G15" s="8" t="n"/>
      <c r="H15" s="8" t="n"/>
    </row>
    <row r="16">
      <c r="A16" s="6" t="inlineStr">
        <is>
          <t>Acconti</t>
        </is>
      </c>
      <c r="B16" s="6" t="inlineStr">
        <is>
          <t>Unica soluzione (novembre) sotto</t>
        </is>
      </c>
      <c r="C16" s="18" t="inlineStr">
        <is>
          <t>257,52 €</t>
        </is>
      </c>
      <c r="D16" s="6" t="inlineStr">
        <is>
          <t>Art. 17 DPR 435/2001; soggetti ISA e forfettari in due rate da 50%</t>
        </is>
      </c>
      <c r="E16" s="6" t="inlineStr"/>
      <c r="F16" s="6" t="inlineStr">
        <is>
          <t>da verificare</t>
        </is>
      </c>
      <c r="G16" s="8" t="n"/>
      <c r="H16" s="8" t="n"/>
    </row>
    <row r="17">
      <c r="A17" s="6" t="inlineStr">
        <is>
          <t>Acconti</t>
        </is>
      </c>
      <c r="B17" s="6" t="inlineStr">
        <is>
          <t>Percentuale acconto</t>
        </is>
      </c>
      <c r="C17" s="18" t="inlineStr">
        <is>
          <t>100%</t>
        </is>
      </c>
      <c r="D17" s="6" t="inlineStr">
        <is>
          <t>Art. 17 DPR 435/2001; soggetti ISA e forfettari in due rate da 50%</t>
        </is>
      </c>
      <c r="E17" s="6" t="inlineStr"/>
      <c r="F17" s="6" t="inlineStr">
        <is>
          <t>da verificare</t>
        </is>
      </c>
      <c r="G17" s="8" t="n"/>
      <c r="H17" s="8" t="n"/>
    </row>
    <row r="18">
      <c r="A18" s="6" t="inlineStr">
        <is>
          <t>Acconti</t>
        </is>
      </c>
      <c r="B18" s="6" t="inlineStr">
        <is>
          <t>Prima rata soggetti ISA/forfettari</t>
        </is>
      </c>
      <c r="C18" s="18" t="inlineStr">
        <is>
          <t>50%</t>
        </is>
      </c>
      <c r="D18" s="6" t="inlineStr">
        <is>
          <t>Art. 17 DPR 435/2001; soggetti ISA e forfettari in due rate da 50%</t>
        </is>
      </c>
      <c r="E18" s="6" t="inlineStr"/>
      <c r="F18" s="6" t="inlineStr">
        <is>
          <t>da verificare</t>
        </is>
      </c>
      <c r="G18" s="8" t="n"/>
      <c r="H18" s="8" t="n"/>
    </row>
    <row r="19">
      <c r="A19" s="6" t="inlineStr">
        <is>
          <t>Acconti</t>
        </is>
      </c>
      <c r="B19" s="6" t="inlineStr">
        <is>
          <t>Acconto addizionale comunale</t>
        </is>
      </c>
      <c r="C19" s="18" t="inlineStr">
        <is>
          <t>30%</t>
        </is>
      </c>
      <c r="D19" s="6" t="inlineStr">
        <is>
          <t>Art. 17 DPR 435/2001; soggetti ISA e forfettari in due rate da 50%</t>
        </is>
      </c>
      <c r="E19" s="6" t="inlineStr"/>
      <c r="F19" s="6" t="inlineStr">
        <is>
          <t>da verificare</t>
        </is>
      </c>
      <c r="G19" s="8" t="n"/>
      <c r="H19" s="8" t="n"/>
    </row>
    <row r="20">
      <c r="A20" s="6" t="inlineStr">
        <is>
          <t>ENPAM Quota A 2026</t>
        </is>
      </c>
      <c r="B20" s="6" t="inlineStr">
        <is>
          <t>Quota A fino a 30 anni</t>
        </is>
      </c>
      <c r="C20" s="18" t="inlineStr">
        <is>
          <t>304,73 €</t>
        </is>
      </c>
      <c r="D20" s="6" t="inlineStr">
        <is>
          <t>enpam.it</t>
        </is>
      </c>
      <c r="E20" s="6" t="inlineStr">
        <is>
          <t>enpam.it agg. 19/3/2026</t>
        </is>
      </c>
      <c r="F20" s="6" t="inlineStr">
        <is>
          <t>sì</t>
        </is>
      </c>
      <c r="G20" s="8" t="n"/>
      <c r="H20" s="8" t="n"/>
    </row>
    <row r="21">
      <c r="A21" s="6" t="inlineStr">
        <is>
          <t>ENPAM Quota A 2026</t>
        </is>
      </c>
      <c r="B21" s="6" t="inlineStr">
        <is>
          <t>Quota A 30-35 anni</t>
        </is>
      </c>
      <c r="C21" s="18" t="inlineStr">
        <is>
          <t>591,47 €</t>
        </is>
      </c>
      <c r="D21" s="6" t="inlineStr">
        <is>
          <t>enpam.it</t>
        </is>
      </c>
      <c r="E21" s="6" t="inlineStr"/>
      <c r="F21" s="6" t="inlineStr">
        <is>
          <t>sì</t>
        </is>
      </c>
      <c r="G21" s="8" t="n"/>
      <c r="H21" s="8" t="n"/>
    </row>
    <row r="22">
      <c r="A22" s="6" t="inlineStr">
        <is>
          <t>ENPAM Quota A 2026</t>
        </is>
      </c>
      <c r="B22" s="6" t="inlineStr">
        <is>
          <t>Quota A 35-40 anni</t>
        </is>
      </c>
      <c r="C22" s="18" t="inlineStr">
        <is>
          <t>1.109,92 €</t>
        </is>
      </c>
      <c r="D22" s="6" t="inlineStr">
        <is>
          <t>enpam.it</t>
        </is>
      </c>
      <c r="E22" s="6" t="inlineStr"/>
      <c r="F22" s="6" t="inlineStr">
        <is>
          <t>sì</t>
        </is>
      </c>
      <c r="G22" s="8" t="n"/>
      <c r="H22" s="8" t="n"/>
    </row>
    <row r="23">
      <c r="A23" s="6" t="inlineStr">
        <is>
          <t>ENPAM Quota A 2026</t>
        </is>
      </c>
      <c r="B23" s="6" t="inlineStr">
        <is>
          <t>Quota A da 40 anni</t>
        </is>
      </c>
      <c r="C23" s="18" t="inlineStr">
        <is>
          <t>2.049,83 €</t>
        </is>
      </c>
      <c r="D23" s="6" t="inlineStr">
        <is>
          <t>enpam.it</t>
        </is>
      </c>
      <c r="E23" s="6" t="inlineStr"/>
      <c r="F23" s="6" t="inlineStr">
        <is>
          <t>sì</t>
        </is>
      </c>
      <c r="G23" s="8" t="n"/>
      <c r="H23" s="8" t="n"/>
    </row>
    <row r="24">
      <c r="A24" s="6" t="inlineStr">
        <is>
          <t>ENPAM Quota A 2026</t>
        </is>
      </c>
      <c r="B24" s="6" t="inlineStr">
        <is>
          <t>Contributo maternità (si somma alla fascia)</t>
        </is>
      </c>
      <c r="C24" s="18" t="inlineStr">
        <is>
          <t>84,26 €</t>
        </is>
      </c>
      <c r="D24" s="6" t="inlineStr">
        <is>
          <t>enpam.it</t>
        </is>
      </c>
      <c r="E24" s="6" t="inlineStr"/>
      <c r="F24" s="6" t="inlineStr">
        <is>
          <t>sì</t>
        </is>
      </c>
      <c r="G24" s="8" t="n"/>
      <c r="H24" s="8" t="n"/>
    </row>
    <row r="25">
      <c r="A25" s="6" t="inlineStr">
        <is>
          <t>ENPAM Quota A 2026</t>
        </is>
      </c>
      <c r="B25" s="6" t="inlineStr">
        <is>
          <t>Quota A studenti (non usata nei calcoli)</t>
        </is>
      </c>
      <c r="C25" s="18" t="inlineStr">
        <is>
          <t>152,37 €</t>
        </is>
      </c>
      <c r="D25" s="6" t="inlineStr">
        <is>
          <t>enpam.it</t>
        </is>
      </c>
      <c r="E25" s="6" t="inlineStr"/>
      <c r="F25" s="6" t="inlineStr">
        <is>
          <t>sì</t>
        </is>
      </c>
      <c r="G25" s="8" t="n"/>
      <c r="H25" s="8" t="n"/>
    </row>
    <row r="26">
      <c r="A26" s="6" t="inlineStr">
        <is>
          <t>ENPAM Quota B</t>
        </is>
      </c>
      <c r="B26" s="6" t="inlineStr">
        <is>
          <t>Quota B aliquota intera</t>
        </is>
      </c>
      <c r="C26" s="18" t="inlineStr">
        <is>
          <t>19,5%</t>
        </is>
      </c>
      <c r="D26" s="6" t="inlineStr">
        <is>
          <t>Quota B: istruzioni Modello D 2026 (Giornale della Previdenza) e enpam.it</t>
        </is>
      </c>
      <c r="E26" s="6" t="inlineStr">
        <is>
          <t>Aliquote e massimale della Quota B da verificare.</t>
        </is>
      </c>
      <c r="F26" s="6" t="inlineStr">
        <is>
          <t>da verificare</t>
        </is>
      </c>
      <c r="G26" s="8" t="n"/>
      <c r="H26" s="8" t="n"/>
    </row>
    <row r="27">
      <c r="A27" s="6" t="inlineStr">
        <is>
          <t>ENPAM Quota B</t>
        </is>
      </c>
      <c r="B27" s="6" t="inlineStr">
        <is>
          <t>Quota B aliquota ridotta (a scelta del medico)</t>
        </is>
      </c>
      <c r="C27" s="18" t="inlineStr">
        <is>
          <t>9,75%</t>
        </is>
      </c>
      <c r="D27" s="6" t="inlineStr">
        <is>
          <t>Quota B: istruzioni Modello D 2026 (Giornale della Previdenza) e enpam.it</t>
        </is>
      </c>
      <c r="E27" s="6" t="inlineStr"/>
      <c r="F27" s="6" t="inlineStr">
        <is>
          <t>da verificare</t>
        </is>
      </c>
      <c r="G27" s="8" t="n"/>
      <c r="H27" s="8" t="n"/>
    </row>
    <row r="28">
      <c r="A28" s="6" t="inlineStr">
        <is>
          <t>ENPAM Quota B</t>
        </is>
      </c>
      <c r="B28" s="6" t="inlineStr">
        <is>
          <t>Quota B massimale</t>
        </is>
      </c>
      <c r="C28" s="18" t="inlineStr">
        <is>
          <t>150.000,00 €</t>
        </is>
      </c>
      <c r="D28" s="6" t="inlineStr">
        <is>
          <t>Quota B: istruzioni Modello D 2026 (Giornale della Previdenza) e enpam.it</t>
        </is>
      </c>
      <c r="E28" s="6" t="inlineStr"/>
      <c r="F28" s="6" t="inlineStr">
        <is>
          <t>da verificare</t>
        </is>
      </c>
      <c r="G28" s="8" t="n"/>
      <c r="H28" s="8" t="n"/>
    </row>
    <row r="29">
      <c r="A29" s="6" t="inlineStr">
        <is>
          <t>ENPAM Quota B</t>
        </is>
      </c>
      <c r="B29" s="6" t="inlineStr">
        <is>
          <t>Quota B oltre massimale</t>
        </is>
      </c>
      <c r="C29" s="18" t="inlineStr">
        <is>
          <t>1%</t>
        </is>
      </c>
      <c r="D29" s="6" t="inlineStr">
        <is>
          <t>Quota B: istruzioni Modello D 2026 (Giornale della Previdenza) e enpam.it</t>
        </is>
      </c>
      <c r="E29" s="6" t="inlineStr"/>
      <c r="F29" s="6" t="inlineStr">
        <is>
          <t>da verificare</t>
        </is>
      </c>
      <c r="G29" s="8" t="n"/>
      <c r="H29" s="8" t="n"/>
    </row>
    <row r="30">
      <c r="A30" s="6" t="inlineStr">
        <is>
          <t>ENPAM soglie Quota B redditi 2025</t>
        </is>
      </c>
      <c r="B30" s="6" t="inlineStr">
        <is>
          <t>Soglia esente under 40</t>
        </is>
      </c>
      <c r="C30" s="18" t="inlineStr">
        <is>
          <t>5.446,77 €</t>
        </is>
      </c>
      <c r="D30" s="6" t="inlineStr">
        <is>
          <t>enpam.it</t>
        </is>
      </c>
      <c r="E30" s="6" t="inlineStr">
        <is>
          <t>Redditi 2025, Quota B pagata nel 2026. enpam.it agg. 3/2/2026</t>
        </is>
      </c>
      <c r="F30" s="6" t="inlineStr">
        <is>
          <t>sì</t>
        </is>
      </c>
      <c r="G30" s="8" t="n"/>
      <c r="H30" s="8" t="n"/>
    </row>
    <row r="31">
      <c r="A31" s="6" t="inlineStr">
        <is>
          <t>ENPAM soglie Quota B redditi 2025</t>
        </is>
      </c>
      <c r="B31" s="6" t="inlineStr">
        <is>
          <t>Soglia esente over 40</t>
        </is>
      </c>
      <c r="C31" s="18" t="inlineStr">
        <is>
          <t>10.059,28 €</t>
        </is>
      </c>
      <c r="D31" s="6" t="inlineStr">
        <is>
          <t>enpam.it</t>
        </is>
      </c>
      <c r="E31" s="6" t="inlineStr"/>
      <c r="F31" s="6" t="inlineStr">
        <is>
          <t>sì</t>
        </is>
      </c>
      <c r="G31" s="8" t="n"/>
      <c r="H31" s="8" t="n"/>
    </row>
    <row r="32">
      <c r="A32" s="6" t="inlineStr">
        <is>
          <t>ENPAM soglie Quota B redditi 2026</t>
        </is>
      </c>
      <c r="B32" s="6" t="inlineStr">
        <is>
          <t>Soglia esente under 40</t>
        </is>
      </c>
      <c r="C32" s="18" t="inlineStr">
        <is>
          <t>5.691,90 €</t>
        </is>
      </c>
      <c r="D32" s="6" t="inlineStr">
        <is>
          <t>Stima LumiaMed</t>
        </is>
      </c>
      <c r="E32" s="6" t="inlineStr">
        <is>
          <t>Stima: Quota A 2026 ÷ 19,5%. ENPAM la pubblica con il Modello D 2027</t>
        </is>
      </c>
      <c r="F32" s="6" t="inlineStr">
        <is>
          <t>da verificare</t>
        </is>
      </c>
      <c r="G32" s="8" t="n"/>
      <c r="H32" s="8" t="n"/>
    </row>
    <row r="33">
      <c r="A33" s="6" t="inlineStr">
        <is>
          <t>ENPAM soglie Quota B redditi 2026</t>
        </is>
      </c>
      <c r="B33" s="6" t="inlineStr">
        <is>
          <t>Soglia esente over 40</t>
        </is>
      </c>
      <c r="C33" s="18" t="inlineStr">
        <is>
          <t>10.511,95 €</t>
        </is>
      </c>
      <c r="D33" s="6" t="inlineStr">
        <is>
          <t>Stima LumiaMed</t>
        </is>
      </c>
      <c r="E33" s="6" t="inlineStr"/>
      <c r="F33" s="6" t="inlineStr">
        <is>
          <t>da verificare</t>
        </is>
      </c>
      <c r="G33" s="8" t="n"/>
      <c r="H33" s="8" t="n"/>
    </row>
    <row r="34">
      <c r="A34" s="6" t="inlineStr">
        <is>
          <t>Detrazione lavoro dipendente</t>
        </is>
      </c>
      <c r="B34" s="6" t="inlineStr">
        <is>
          <t>Nulla oltre (solo per l'avviso sugli altri redditi)</t>
        </is>
      </c>
      <c r="C34" s="18" t="inlineStr">
        <is>
          <t>50.000,00 €</t>
        </is>
      </c>
      <c r="D34" s="6" t="inlineStr">
        <is>
          <t>Art. 13 c. 1 TUIR</t>
        </is>
      </c>
      <c r="E34" s="6" t="inlineStr">
        <is>
          <t>Usata solo per l'avviso sugli altri redditi nell'ordinario: la detrazione per lavoro dipendente non è calcolata.</t>
        </is>
      </c>
      <c r="F34" s="6" t="inlineStr">
        <is>
          <t>da verificare</t>
        </is>
      </c>
      <c r="G34" s="8" t="n"/>
      <c r="H34" s="8" t="n"/>
    </row>
    <row r="35">
      <c r="A35" s="6" t="inlineStr">
        <is>
          <t>IVA e bollo</t>
        </is>
      </c>
      <c r="B35" s="6" t="inlineStr">
        <is>
          <t>Bollo: soglia</t>
        </is>
      </c>
      <c r="C35" s="18" t="inlineStr">
        <is>
          <t>77,47 €</t>
        </is>
      </c>
      <c r="D35" s="6" t="inlineStr">
        <is>
          <t>DPR 642/72, tariffa art. 13</t>
        </is>
      </c>
      <c r="E35" s="6" t="inlineStr">
        <is>
          <t>D.Lgs. 192/2024: dal 2025 i rimborsi di spese addebitate al cliente non concorrono al reddito di lavoro autonomo. Verificare se vale anche per il bollo e per i forfettari.</t>
        </is>
      </c>
      <c r="F35" s="6" t="inlineStr">
        <is>
          <t>da verificare</t>
        </is>
      </c>
      <c r="G35" s="8" t="n"/>
      <c r="H35" s="8" t="n"/>
    </row>
    <row r="36">
      <c r="A36" s="6" t="inlineStr">
        <is>
          <t>IVA e bollo</t>
        </is>
      </c>
      <c r="B36" s="6" t="inlineStr">
        <is>
          <t>Bollo: importo</t>
        </is>
      </c>
      <c r="C36" s="18" t="inlineStr">
        <is>
          <t>2,00 €</t>
        </is>
      </c>
      <c r="D36" s="6" t="inlineStr">
        <is>
          <t>DPR 642/72, tariffa art. 13</t>
        </is>
      </c>
      <c r="E36" s="6" t="inlineStr"/>
      <c r="F36" s="6" t="inlineStr">
        <is>
          <t>da verificare</t>
        </is>
      </c>
      <c r="G36" s="8" t="n"/>
      <c r="H36" s="8" t="n"/>
    </row>
    <row r="37">
      <c r="A37" s="6" t="inlineStr">
        <is>
          <t>IVA e bollo</t>
        </is>
      </c>
      <c r="B37" s="6" t="inlineStr">
        <is>
          <t>Bollo riaddebitato concorre al reddito</t>
        </is>
      </c>
      <c r="C37" s="18" t="inlineStr">
        <is>
          <t>no</t>
        </is>
      </c>
      <c r="D37" s="6" t="inlineStr">
        <is>
          <t>DPR 642/72, tariffa art. 13</t>
        </is>
      </c>
      <c r="E37" s="6" t="inlineStr"/>
      <c r="F37" s="6" t="inlineStr">
        <is>
          <t>da verificare</t>
        </is>
      </c>
      <c r="G37" s="8" t="n"/>
      <c r="H37" s="8" t="n"/>
    </row>
    <row r="38">
      <c r="A38" s="6" t="inlineStr">
        <is>
          <t>IVA e bollo</t>
        </is>
      </c>
      <c r="B38" s="6" t="inlineStr">
        <is>
          <t>IVA aliquota prestazioni non sanitarie</t>
        </is>
      </c>
      <c r="C38" s="18" t="inlineStr">
        <is>
          <t>22%</t>
        </is>
      </c>
      <c r="D38" s="6" t="inlineStr">
        <is>
          <t>DPR 642/72, tariffa art. 13</t>
        </is>
      </c>
      <c r="E38" s="6" t="inlineStr"/>
      <c r="F38" s="6" t="inlineStr">
        <is>
          <t>da verificare</t>
        </is>
      </c>
      <c r="G38" s="8" t="n"/>
      <c r="H38" s="8" t="n"/>
    </row>
    <row r="39">
      <c r="A39" s="6" t="inlineStr">
        <is>
          <t>IVA e bollo</t>
        </is>
      </c>
      <c r="B39" s="6" t="inlineStr">
        <is>
          <t>Interessi liquidazione trimestrale</t>
        </is>
      </c>
      <c r="C39" s="18" t="inlineStr">
        <is>
          <t>1%</t>
        </is>
      </c>
      <c r="D39" s="6" t="inlineStr">
        <is>
          <t>DPR 642/72, tariffa art. 13</t>
        </is>
      </c>
      <c r="E39" s="6" t="inlineStr"/>
      <c r="F39" s="6" t="inlineStr">
        <is>
          <t>da verificare</t>
        </is>
      </c>
      <c r="G39" s="8" t="n"/>
      <c r="H39" s="8" t="n"/>
    </row>
    <row r="40">
      <c r="A40" s="6" t="inlineStr">
        <is>
          <t>Spese (ordinario)</t>
        </is>
      </c>
      <c r="B40" s="6" t="inlineStr">
        <is>
          <t>Deducibilità affitto_studio</t>
        </is>
      </c>
      <c r="C40" s="18" t="inlineStr">
        <is>
          <t>100%</t>
        </is>
      </c>
      <c r="D40" s="6" t="inlineStr">
        <is>
          <t>Art. 54 TUIR (prima della riforma D.Lgs. 192/2024: verificare le novità sul reddito di lavoro autonomo)</t>
        </is>
      </c>
      <c r="E40" s="6" t="inlineStr"/>
      <c r="F40" s="6" t="inlineStr">
        <is>
          <t>da verificare</t>
        </is>
      </c>
      <c r="G40" s="8" t="n"/>
      <c r="H40" s="8" t="n"/>
    </row>
    <row r="41">
      <c r="A41" s="6" t="inlineStr">
        <is>
          <t>Spese (ordinario)</t>
        </is>
      </c>
      <c r="B41" s="6" t="inlineStr">
        <is>
          <t>Deducibilità utenze</t>
        </is>
      </c>
      <c r="C41" s="18" t="inlineStr">
        <is>
          <t>100%</t>
        </is>
      </c>
      <c r="D41" s="6" t="inlineStr">
        <is>
          <t>Art. 54 TUIR (prima della riforma D.Lgs. 192/2024: verificare le novità sul reddito di lavoro autonomo)</t>
        </is>
      </c>
      <c r="E41" s="6" t="inlineStr"/>
      <c r="F41" s="6" t="inlineStr">
        <is>
          <t>da verificare</t>
        </is>
      </c>
      <c r="G41" s="8" t="n"/>
      <c r="H41" s="8" t="n"/>
    </row>
    <row r="42">
      <c r="A42" s="6" t="inlineStr">
        <is>
          <t>Spese (ordinario)</t>
        </is>
      </c>
      <c r="B42" s="6" t="inlineStr">
        <is>
          <t>Deducibilità materiale_sanitario</t>
        </is>
      </c>
      <c r="C42" s="18" t="inlineStr">
        <is>
          <t>100%</t>
        </is>
      </c>
      <c r="D42" s="6" t="inlineStr">
        <is>
          <t>Art. 54 TUIR (prima della riforma D.Lgs. 192/2024: verificare le novità sul reddito di lavoro autonomo)</t>
        </is>
      </c>
      <c r="E42" s="6" t="inlineStr"/>
      <c r="F42" s="6" t="inlineStr">
        <is>
          <t>da verificare</t>
        </is>
      </c>
      <c r="G42" s="8" t="n"/>
      <c r="H42" s="8" t="n"/>
    </row>
    <row r="43">
      <c r="A43" s="6" t="inlineStr">
        <is>
          <t>Spese (ordinario)</t>
        </is>
      </c>
      <c r="B43" s="6" t="inlineStr">
        <is>
          <t>Deducibilità attrezzature</t>
        </is>
      </c>
      <c r="C43" s="18" t="inlineStr">
        <is>
          <t>100%</t>
        </is>
      </c>
      <c r="D43" s="6" t="inlineStr">
        <is>
          <t>Art. 54 TUIR (prima della riforma D.Lgs. 192/2024: verificare le novità sul reddito di lavoro autonomo)</t>
        </is>
      </c>
      <c r="E43" s="6" t="inlineStr"/>
      <c r="F43" s="6" t="inlineStr">
        <is>
          <t>da verificare</t>
        </is>
      </c>
      <c r="G43" s="8" t="n"/>
      <c r="H43" s="8" t="n"/>
    </row>
    <row r="44">
      <c r="A44" s="6" t="inlineStr">
        <is>
          <t>Spese (ordinario)</t>
        </is>
      </c>
      <c r="B44" s="6" t="inlineStr">
        <is>
          <t>Deducibilità assicurazione_rc</t>
        </is>
      </c>
      <c r="C44" s="18" t="inlineStr">
        <is>
          <t>100%</t>
        </is>
      </c>
      <c r="D44" s="6" t="inlineStr">
        <is>
          <t>Art. 54 TUIR (prima della riforma D.Lgs. 192/2024: verificare le novità sul reddito di lavoro autonomo)</t>
        </is>
      </c>
      <c r="E44" s="6" t="inlineStr"/>
      <c r="F44" s="6" t="inlineStr">
        <is>
          <t>da verificare</t>
        </is>
      </c>
      <c r="G44" s="8" t="n"/>
      <c r="H44" s="8" t="n"/>
    </row>
    <row r="45">
      <c r="A45" s="6" t="inlineStr">
        <is>
          <t>Spese (ordinario)</t>
        </is>
      </c>
      <c r="B45" s="6" t="inlineStr">
        <is>
          <t>Deducibilità formazione_ecm</t>
        </is>
      </c>
      <c r="C45" s="18" t="inlineStr">
        <is>
          <t>100%</t>
        </is>
      </c>
      <c r="D45" s="6" t="inlineStr">
        <is>
          <t>Art. 54 TUIR (prima della riforma D.Lgs. 192/2024: verificare le novità sul reddito di lavoro autonomo)</t>
        </is>
      </c>
      <c r="E45" s="6" t="inlineStr"/>
      <c r="F45" s="6" t="inlineStr">
        <is>
          <t>da verificare</t>
        </is>
      </c>
      <c r="G45" s="8" t="n"/>
      <c r="H45" s="8" t="n"/>
    </row>
    <row r="46">
      <c r="A46" s="6" t="inlineStr">
        <is>
          <t>Spese (ordinario)</t>
        </is>
      </c>
      <c r="B46" s="6" t="inlineStr">
        <is>
          <t>Deducibilità software</t>
        </is>
      </c>
      <c r="C46" s="18" t="inlineStr">
        <is>
          <t>100%</t>
        </is>
      </c>
      <c r="D46" s="6" t="inlineStr">
        <is>
          <t>Art. 54 TUIR (prima della riforma D.Lgs. 192/2024: verificare le novità sul reddito di lavoro autonomo)</t>
        </is>
      </c>
      <c r="E46" s="6" t="inlineStr"/>
      <c r="F46" s="6" t="inlineStr">
        <is>
          <t>da verificare</t>
        </is>
      </c>
      <c r="G46" s="8" t="n"/>
      <c r="H46" s="8" t="n"/>
    </row>
    <row r="47">
      <c r="A47" s="6" t="inlineStr">
        <is>
          <t>Spese (ordinario)</t>
        </is>
      </c>
      <c r="B47" s="6" t="inlineStr">
        <is>
          <t>Deducibilità telefono_internet</t>
        </is>
      </c>
      <c r="C47" s="18" t="inlineStr">
        <is>
          <t>80%</t>
        </is>
      </c>
      <c r="D47" s="6" t="inlineStr">
        <is>
          <t>Art. 54 TUIR (prima della riforma D.Lgs. 192/2024: verificare le novità sul reddito di lavoro autonomo)</t>
        </is>
      </c>
      <c r="E47" s="6" t="inlineStr"/>
      <c r="F47" s="6" t="inlineStr">
        <is>
          <t>da verificare</t>
        </is>
      </c>
      <c r="G47" s="8" t="n"/>
      <c r="H47" s="8" t="n"/>
    </row>
    <row r="48">
      <c r="A48" s="6" t="inlineStr">
        <is>
          <t>Spese (ordinario)</t>
        </is>
      </c>
      <c r="B48" s="6" t="inlineStr">
        <is>
          <t>Deducibilità auto</t>
        </is>
      </c>
      <c r="C48" s="18" t="inlineStr">
        <is>
          <t>20%</t>
        </is>
      </c>
      <c r="D48" s="6" t="inlineStr">
        <is>
          <t>Art. 54 TUIR (prima della riforma D.Lgs. 192/2024: verificare le novità sul reddito di lavoro autonomo)</t>
        </is>
      </c>
      <c r="E48" s="6" t="inlineStr"/>
      <c r="F48" s="6" t="inlineStr">
        <is>
          <t>da verificare</t>
        </is>
      </c>
      <c r="G48" s="8" t="n"/>
      <c r="H48" s="8" t="n"/>
    </row>
    <row r="49">
      <c r="A49" s="6" t="inlineStr">
        <is>
          <t>Spese (ordinario)</t>
        </is>
      </c>
      <c r="B49" s="6" t="inlineStr">
        <is>
          <t>Deducibilità ristoranti_alberghi</t>
        </is>
      </c>
      <c r="C49" s="18" t="inlineStr">
        <is>
          <t>75%</t>
        </is>
      </c>
      <c r="D49" s="6" t="inlineStr">
        <is>
          <t>Art. 54 TUIR (prima della riforma D.Lgs. 192/2024: verificare le novità sul reddito di lavoro autonomo)</t>
        </is>
      </c>
      <c r="E49" s="6" t="inlineStr"/>
      <c r="F49" s="6" t="inlineStr">
        <is>
          <t>da verificare</t>
        </is>
      </c>
      <c r="G49" s="8" t="n"/>
      <c r="H49" s="8" t="n"/>
    </row>
    <row r="50">
      <c r="A50" s="6" t="inlineStr">
        <is>
          <t>Spese (ordinario)</t>
        </is>
      </c>
      <c r="B50" s="6" t="inlineStr">
        <is>
          <t>Deducibilità commercialista</t>
        </is>
      </c>
      <c r="C50" s="18" t="inlineStr">
        <is>
          <t>100%</t>
        </is>
      </c>
      <c r="D50" s="6" t="inlineStr">
        <is>
          <t>Art. 54 TUIR (prima della riforma D.Lgs. 192/2024: verificare le novità sul reddito di lavoro autonomo)</t>
        </is>
      </c>
      <c r="E50" s="6" t="inlineStr"/>
      <c r="F50" s="6" t="inlineStr">
        <is>
          <t>da verificare</t>
        </is>
      </c>
      <c r="G50" s="8" t="n"/>
      <c r="H50" s="8" t="n"/>
    </row>
    <row r="51">
      <c r="A51" s="6" t="inlineStr">
        <is>
          <t>Spese (ordinario)</t>
        </is>
      </c>
      <c r="B51" s="6" t="inlineStr">
        <is>
          <t>Deducibilità quota_ordine</t>
        </is>
      </c>
      <c r="C51" s="18" t="inlineStr">
        <is>
          <t>100%</t>
        </is>
      </c>
      <c r="D51" s="6" t="inlineStr">
        <is>
          <t>Art. 54 TUIR (prima della riforma D.Lgs. 192/2024: verificare le novità sul reddito di lavoro autonomo)</t>
        </is>
      </c>
      <c r="E51" s="6" t="inlineStr"/>
      <c r="F51" s="6" t="inlineStr">
        <is>
          <t>da verificare</t>
        </is>
      </c>
      <c r="G51" s="8" t="n"/>
      <c r="H51" s="8" t="n"/>
    </row>
    <row r="52">
      <c r="A52" s="6" t="inlineStr">
        <is>
          <t>Spese (ordinario)</t>
        </is>
      </c>
      <c r="B52" s="6" t="inlineStr">
        <is>
          <t>Deducibilità personale</t>
        </is>
      </c>
      <c r="C52" s="18" t="inlineStr">
        <is>
          <t>100%</t>
        </is>
      </c>
      <c r="D52" s="6" t="inlineStr">
        <is>
          <t>Art. 54 TUIR (prima della riforma D.Lgs. 192/2024: verificare le novità sul reddito di lavoro autonomo)</t>
        </is>
      </c>
      <c r="E52" s="6" t="inlineStr"/>
      <c r="F52" s="6" t="inlineStr">
        <is>
          <t>da verificare</t>
        </is>
      </c>
      <c r="G52" s="8" t="n"/>
      <c r="H52" s="8" t="n"/>
    </row>
    <row r="53">
      <c r="A53" s="6" t="inlineStr">
        <is>
          <t>Spese (ordinario)</t>
        </is>
      </c>
      <c r="B53" s="6" t="inlineStr">
        <is>
          <t>Deducibilità contributi_enpam</t>
        </is>
      </c>
      <c r="C53" s="18" t="inlineStr">
        <is>
          <t>0%</t>
        </is>
      </c>
      <c r="D53" s="6" t="inlineStr">
        <is>
          <t>Art. 54 TUIR (prima della riforma D.Lgs. 192/2024: verificare le novità sul reddito di lavoro autonomo)</t>
        </is>
      </c>
      <c r="E53" s="6" t="inlineStr"/>
      <c r="F53" s="6" t="inlineStr">
        <is>
          <t>da verificare</t>
        </is>
      </c>
      <c r="G53" s="8" t="n"/>
      <c r="H53" s="8" t="n"/>
    </row>
    <row r="54">
      <c r="A54" s="6" t="inlineStr">
        <is>
          <t>Spese (ordinario)</t>
        </is>
      </c>
      <c r="B54" s="6" t="inlineStr">
        <is>
          <t>Deducibilità imposte_f24</t>
        </is>
      </c>
      <c r="C54" s="18" t="inlineStr">
        <is>
          <t>0%</t>
        </is>
      </c>
      <c r="D54" s="6" t="inlineStr">
        <is>
          <t>Art. 54 TUIR (prima della riforma D.Lgs. 192/2024: verificare le novità sul reddito di lavoro autonomo)</t>
        </is>
      </c>
      <c r="E54" s="6" t="inlineStr"/>
      <c r="F54" s="6" t="inlineStr">
        <is>
          <t>da verificare</t>
        </is>
      </c>
      <c r="G54" s="8" t="n"/>
      <c r="H54" s="8" t="n"/>
    </row>
    <row r="55">
      <c r="A55" s="6" t="inlineStr">
        <is>
          <t>Spese (ordinario)</t>
        </is>
      </c>
      <c r="B55" s="6" t="inlineStr">
        <is>
          <t>Deducibilità personale_non_deducibile</t>
        </is>
      </c>
      <c r="C55" s="18" t="inlineStr">
        <is>
          <t>0%</t>
        </is>
      </c>
      <c r="D55" s="6" t="inlineStr">
        <is>
          <t>Art. 54 TUIR (prima della riforma D.Lgs. 192/2024: verificare le novità sul reddito di lavoro autonomo)</t>
        </is>
      </c>
      <c r="E55" s="6" t="inlineStr"/>
      <c r="F55" s="6" t="inlineStr">
        <is>
          <t>da verificare</t>
        </is>
      </c>
      <c r="G55" s="8" t="n"/>
      <c r="H55" s="8" t="n"/>
    </row>
    <row r="56">
      <c r="A56" s="6" t="inlineStr">
        <is>
          <t>Spese (ordinario)</t>
        </is>
      </c>
      <c r="B56" s="6" t="inlineStr">
        <is>
          <t>Deducibilità altro</t>
        </is>
      </c>
      <c r="C56" s="18" t="inlineStr">
        <is>
          <t>100%</t>
        </is>
      </c>
      <c r="D56" s="6" t="inlineStr">
        <is>
          <t>Art. 54 TUIR (prima della riforma D.Lgs. 192/2024: verificare le novità sul reddito di lavoro autonomo)</t>
        </is>
      </c>
      <c r="E56" s="6" t="inlineStr"/>
      <c r="F56" s="6" t="inlineStr">
        <is>
          <t>da verificare</t>
        </is>
      </c>
      <c r="G56" s="8" t="n"/>
      <c r="H56" s="8" t="n"/>
    </row>
    <row r="57">
      <c r="A57" s="6" t="inlineStr">
        <is>
          <t>Scadenze 2026</t>
        </is>
      </c>
      <c r="B57" s="6" t="inlineStr">
        <is>
          <t>Saldo e 1° acconto ISA/forfettari</t>
        </is>
      </c>
      <c r="C57" s="18" t="inlineStr">
        <is>
          <t>2026-07-20</t>
        </is>
      </c>
      <c r="D57" s="6" t="inlineStr">
        <is>
          <t>Proroga ISA/forfettari 2026 al 20 luglio (edotto.com, centrofiscale.com); Modello D: istruzioni ENPAM 2026</t>
        </is>
      </c>
      <c r="E57" s="6" t="inlineStr"/>
      <c r="F57" s="6" t="inlineStr">
        <is>
          <t>da verificare</t>
        </is>
      </c>
      <c r="G57" s="8" t="n"/>
      <c r="H57" s="8" t="n"/>
    </row>
    <row r="58">
      <c r="A58" s="6" t="inlineStr">
        <is>
          <t>Scadenze 2026</t>
        </is>
      </c>
      <c r="B58" s="6" t="inlineStr">
        <is>
          <t>2° acconto</t>
        </is>
      </c>
      <c r="C58" s="18" t="inlineStr">
        <is>
          <t>2026-11-30</t>
        </is>
      </c>
      <c r="D58" s="6" t="inlineStr">
        <is>
          <t>Proroga ISA/forfettari 2026 al 20 luglio (edotto.com, centrofiscale.com); Modello D: istruzioni ENPAM 2026</t>
        </is>
      </c>
      <c r="E58" s="6" t="inlineStr"/>
      <c r="F58" s="6" t="inlineStr">
        <is>
          <t>da verificare</t>
        </is>
      </c>
      <c r="G58" s="8" t="n"/>
      <c r="H58" s="8" t="n"/>
    </row>
    <row r="59">
      <c r="A59" s="6" t="inlineStr">
        <is>
          <t>Scadenze 2026</t>
        </is>
      </c>
      <c r="B59" s="6" t="inlineStr">
        <is>
          <t>Dichiarazione dei redditi</t>
        </is>
      </c>
      <c r="C59" s="18" t="inlineStr">
        <is>
          <t>2026-10-31</t>
        </is>
      </c>
      <c r="D59" s="6" t="inlineStr">
        <is>
          <t>Proroga ISA/forfettari 2026 al 20 luglio (edotto.com, centrofiscale.com); Modello D: istruzioni ENPAM 2026</t>
        </is>
      </c>
      <c r="E59" s="6" t="inlineStr"/>
      <c r="F59" s="6" t="inlineStr">
        <is>
          <t>da verificare</t>
        </is>
      </c>
      <c r="G59" s="8" t="n"/>
      <c r="H59" s="8" t="n"/>
    </row>
    <row r="60">
      <c r="A60" s="6" t="inlineStr">
        <is>
          <t>Scadenze 2026</t>
        </is>
      </c>
      <c r="B60" s="6" t="inlineStr">
        <is>
          <t>Invio Sistema TS</t>
        </is>
      </c>
      <c r="C60" s="18" t="inlineStr">
        <is>
          <t>2026-01-31</t>
        </is>
      </c>
      <c r="D60" s="6" t="inlineStr">
        <is>
          <t>Proroga ISA/forfettari 2026 al 20 luglio (edotto.com, centrofiscale.com); Modello D: istruzioni ENPAM 2026</t>
        </is>
      </c>
      <c r="E60" s="6" t="inlineStr"/>
      <c r="F60" s="6" t="inlineStr">
        <is>
          <t>da verificare</t>
        </is>
      </c>
      <c r="G60" s="8" t="n"/>
      <c r="H60" s="8" t="n"/>
    </row>
    <row r="61">
      <c r="A61" s="6" t="inlineStr">
        <is>
          <t>Scadenze 2026</t>
        </is>
      </c>
      <c r="B61" s="6" t="inlineStr">
        <is>
          <t>Modello D ENPAM</t>
        </is>
      </c>
      <c r="C61" s="18" t="inlineStr">
        <is>
          <t>2026-07-31</t>
        </is>
      </c>
      <c r="D61" s="6" t="inlineStr">
        <is>
          <t>Proroga ISA/forfettari 2026 al 20 luglio (edotto.com, centrofiscale.com); Modello D: istruzioni ENPAM 2026</t>
        </is>
      </c>
      <c r="E61" s="6" t="inlineStr"/>
      <c r="F61" s="6" t="inlineStr">
        <is>
          <t>da verificare</t>
        </is>
      </c>
      <c r="G61" s="8" t="n"/>
      <c r="H61" s="8" t="n"/>
    </row>
  </sheetData>
  <autoFilter ref="A1:H61"/>
  <conditionalFormatting sqref="A2:H61">
    <cfRule type="expression" priority="1" dxfId="0">
      <formula>$G2="No"</formula>
    </cfRule>
  </conditionalFormatting>
  <dataValidations count="1">
    <dataValidation sqref="G2 G3 G4 G5 G6 G7 G8 G9 G10 G11 G12 G13 G14 G15 G16 G17 G18 G19 G20 G21 G22 G23 G24 G25 G26 G27 G28 G29 G30 G31 G32 G33 G34 G35 G36 G37 G38 G39 G40 G41 G42 G43 G44 G45 G46 G47 G48 G49 G50 G51 G52 G53 G54 G55 G56 G57 G58 G59 G60 G61" showDropDown="0" showInputMessage="0" showErrorMessage="0" allowBlank="1" type="list">
      <formula1>"Sì,No"</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2026-10-13T12:48:13Z</dcterms:created>
  <dcterms:modified xsi:type="dcterms:W3CDTF">2026-10-13T12:48:13Z</dcterms:modified>
</cp:coreProperties>
</file>