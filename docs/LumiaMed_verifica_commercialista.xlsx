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truzioni" sheetId="1" state="visible" r:id="rId3"/>
    <sheet name="Casi di prova" sheetId="2" state="visible" r:id="rId4"/>
    <sheet name="Parametri" sheetId="3" state="visible" r:id="rId5"/>
  </sheets>
  <definedNames>
    <definedName function="false" hidden="true" localSheetId="1" name="_xlnm._FilterDatabase" vbProcedure="false">'Casi di prova'!$A$1:$J$50</definedName>
    <definedName function="false" hidden="true" localSheetId="2" name="_xlnm._FilterDatabase" vbProcedure="false">Parametri!$A$1:$G$54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2" authorId="0">
      <text>
        <r>
          <rPr>
            <sz val="10"/>
            <rFont val="Arial"/>
            <family val="2"/>
          </rPr>
          <t xml:space="preserve">Le note segnalano i punti dove le fonti pubbliche non concordano.</t>
        </r>
      </text>
    </comment>
  </commentList>
</comments>
</file>

<file path=xl/sharedStrings.xml><?xml version="1.0" encoding="utf-8"?>
<sst xmlns="http://schemas.openxmlformats.org/spreadsheetml/2006/main" count="498" uniqueCount="212">
  <si>
    <t xml:space="preserve">LumiaMed — verifica dei calcoli fiscali</t>
  </si>
  <si>
    <t xml:space="preserve">Gentile dottore/dottoressa commercialista,</t>
  </si>
  <si>
    <t xml:space="preserve">questo file contiene i casi di prova del motore di calcolo dell'app LumiaMed (gestione finanziaria per medici liberi professionisti).</t>
  </si>
  <si>
    <t xml:space="preserve">Le chiediamo di verificare se i valori calcolati dall'app sono corretti.</t>
  </si>
  <si>
    <t xml:space="preserve">Come compilare (solo le celle GIALLE):</t>
  </si>
  <si>
    <t xml:space="preserve">1. Foglio 'Casi di prova': per ogni riga scelga 'Sì' o 'No' nella colonna 'Corretto?'.</t>
  </si>
  <si>
    <t xml:space="preserve">2. Se è 'No', scriva il valore giusto in 'Valore corretto' e il motivo in 'Note'. La colonna 'Differenza' si calcola da sola.</t>
  </si>
  <si>
    <t xml:space="preserve">3. Foglio 'Parametri': confermi o corregga i parametri normativi 2026 usati dall'app.</t>
  </si>
  <si>
    <t xml:space="preserve">Note importanti:</t>
  </si>
  <si>
    <t xml:space="preserve">• Tutti i calcoli seguono il principio di cassa (ricavi incassati e spese pagate nell'anno).</t>
  </si>
  <si>
    <t xml:space="preserve">• Le addizionali dei casi 'Ordinario' usano tabelle DI PROVA (non quelle reali di un comune): serve verificare il metodo di calcolo.</t>
  </si>
  <si>
    <t xml:space="preserve">• Quota A ENPAM: l'app applica la fascia d'età superiore dal mese successivo al compleanno (pro-rata mensile).</t>
  </si>
  <si>
    <t xml:space="preserve">• Quota B ENPAM: base = reddito libero-professionale (forfettario: ricavi × 78%, rigo LM34; ordinario: compensi − spese), meno la soglia già coperta dalla Quota A.</t>
  </si>
  <si>
    <t xml:space="preserve">• Acconti: metodo storico, soggetti ISA/forfettari in due rate da 50%.</t>
  </si>
  <si>
    <t xml:space="preserve">• Bollo da 2 € riaddebitato al paziente: l'app ora lo ESCLUDE dal reddito (D.Lgs. 192/2024). Da confermare.</t>
  </si>
  <si>
    <t xml:space="preserve">Esempio di compilazione: riga con valore errato → Corretto? = No; Valore corretto = 1.450,00; Note = 'manca X'.</t>
  </si>
  <si>
    <t xml:space="preserve">ID</t>
  </si>
  <si>
    <t xml:space="preserve">Area</t>
  </si>
  <si>
    <t xml:space="preserve">Scenario</t>
  </si>
  <si>
    <t xml:space="preserve">Dati di partenza</t>
  </si>
  <si>
    <t xml:space="preserve">Voce</t>
  </si>
  <si>
    <t xml:space="preserve">Valore calcolato dall'app</t>
  </si>
  <si>
    <t xml:space="preserve">Corretto?</t>
  </si>
  <si>
    <t xml:space="preserve">Valore corretto</t>
  </si>
  <si>
    <t xml:space="preserve">Differenza</t>
  </si>
  <si>
    <t xml:space="preserve">Note del commercialista</t>
  </si>
  <si>
    <t xml:space="preserve">F1</t>
  </si>
  <si>
    <t xml:space="preserve">Forfettario</t>
  </si>
  <si>
    <t xml:space="preserve">Giovane medico al 5° anno con requisiti startup, 40.000 € incassati, 2.500 € di ENPAM versati</t>
  </si>
  <si>
    <t xml:space="preserve">Anno 2026; inizio attività 2022; requisiti 5%: sì; ricavi incassati 40.000,00 €; ENPAM versato nell'anno 2.500,00 €</t>
  </si>
  <si>
    <t xml:space="preserve">Reddito lordo (ricavi × 78%)</t>
  </si>
  <si>
    <t xml:space="preserve">Imponibile (dopo contributi)</t>
  </si>
  <si>
    <t xml:space="preserve">Aliquota imposta sostitutiva</t>
  </si>
  <si>
    <t xml:space="preserve">Imposta sostitutiva</t>
  </si>
  <si>
    <t xml:space="preserve">F2</t>
  </si>
  <si>
    <t xml:space="preserve">Medico al 6° anno (aliquota 15%), 60.000 € incassati, 4.000 € di ENPAM versati</t>
  </si>
  <si>
    <t xml:space="preserve">Anno 2026; inizio attività 2021; requisiti 5%: sì; ricavi incassati 60.000,00 €; ENPAM versato nell'anno 4.000,00 €</t>
  </si>
  <si>
    <t xml:space="preserve">F3</t>
  </si>
  <si>
    <t xml:space="preserve">Primo anno senza requisiti startup (15%), 25.000 € incassati, nessun contributo versato</t>
  </si>
  <si>
    <t xml:space="preserve">Anno 2026; inizio attività 2026; requisiti 5%: no; ricavi incassati 25.000,00 €; ENPAM versato nell'anno 0,00 €</t>
  </si>
  <si>
    <t xml:space="preserve">F4</t>
  </si>
  <si>
    <t xml:space="preserve">Contributi superiori al reddito: 5.000 € incassati, 5.000 € di ENPAM versati</t>
  </si>
  <si>
    <t xml:space="preserve">Anno 2026; inizio attività 2025; requisiti 5%: sì; ricavi incassati 5.000,00 €; ENPAM versato nell'anno 5.000,00 €</t>
  </si>
  <si>
    <t xml:space="preserve">O1</t>
  </si>
  <si>
    <t xml:space="preserve">Ordinario</t>
  </si>
  <si>
    <t xml:space="preserve">Specialista con 70.000 € di compensi; affitto 6.000, telefono 1.000 (80%), ristoranti 2.000 (75% ma max 2% dei compensi); ENPAM versato 8.000</t>
  </si>
  <si>
    <t xml:space="preserve">Compensi 70.000,00 €; spese: affitto_studio 6.000,00 €, telefono_internet 1.000,00 €, ristoranti_alberghi 2.000,00 €; ENPAM versato 8.000,00 €; ritenute subite 0,00 €. Addizionali calcolate con tabelle DI PROVA: regionale 1,73%/2,73%/2,93%/3,33% (scaglioni 15k/28k/50k), comunale 0,8% con esenzione fino a 10.000 €.</t>
  </si>
  <si>
    <t xml:space="preserve">Spese deducibili</t>
  </si>
  <si>
    <t xml:space="preserve">Reddito professionale</t>
  </si>
  <si>
    <t xml:space="preserve">Reddito imponibile IRPEF</t>
  </si>
  <si>
    <t xml:space="preserve">IRPEF lorda</t>
  </si>
  <si>
    <t xml:space="preserve">Detrazione lavoro autonomo (art. 13 c. 5 TUIR)</t>
  </si>
  <si>
    <t xml:space="preserve">IRPEF netta</t>
  </si>
  <si>
    <t xml:space="preserve">Addizionale regionale (tabella di prova)</t>
  </si>
  <si>
    <t xml:space="preserve">Addizionale comunale (tabella di prova)</t>
  </si>
  <si>
    <t xml:space="preserve">O2</t>
  </si>
  <si>
    <t xml:space="preserve">Medico con 30.000 € di compensi, 4.000 € di materiale sanitario, 6.000 € di ENPAM versato, 2.000 € di ritenute subite</t>
  </si>
  <si>
    <t xml:space="preserve">Compensi 30.000,00 €; spese: materiale_sanitario 4.000,00 €; ENPAM versato 6.000,00 €; ritenute subite 2.000,00 €. Addizionali calcolate con tabelle DI PROVA: regionale 1,73%/2,73%/2,93%/3,33% (scaglioni 15k/28k/50k), comunale 0,8% con esenzione fino a 10.000 €.</t>
  </si>
  <si>
    <t xml:space="preserve">A1</t>
  </si>
  <si>
    <t xml:space="preserve">ENPAM Quota A</t>
  </si>
  <si>
    <t xml:space="preserve">Compie 30 anni il 15/3/2026: 3 mesi a 291,61 €/anno e 9 mesi a 566 €/anno, più maternità 95,54</t>
  </si>
  <si>
    <t xml:space="preserve">Anno 2026; nato il 1996-03-15</t>
  </si>
  <si>
    <t xml:space="preserve">Quota A totale (con maternità)</t>
  </si>
  <si>
    <t xml:space="preserve">A2</t>
  </si>
  <si>
    <t xml:space="preserve">Over 40 tutto l'anno: 1.961,56 + maternità 95,54</t>
  </si>
  <si>
    <t xml:space="preserve">Anno 2026; nato il 1980-06-01</t>
  </si>
  <si>
    <t xml:space="preserve">B1</t>
  </si>
  <si>
    <t xml:space="preserve">ENPAM Quota B</t>
  </si>
  <si>
    <t xml:space="preserve">Under 40, reddito forfettario (LM34) 31.200 €: 19,5% sulla parte oltre 5.446,77 €</t>
  </si>
  <si>
    <t xml:space="preserve">Redditi 2026; nato il 1991-05-10; reddito libero-professionale 31.200,00 €</t>
  </si>
  <si>
    <t xml:space="preserve">Soglia esente (coperta da Quota A)</t>
  </si>
  <si>
    <t xml:space="preserve">Quota B dovuta</t>
  </si>
  <si>
    <t xml:space="preserve">B2</t>
  </si>
  <si>
    <t xml:space="preserve">Over 40, reddito 160.000 €: 19,5% fino a 150.000 (oltre la soglia di 10.059,28) + 1% sull'eccedenza</t>
  </si>
  <si>
    <t xml:space="preserve">Redditi 2026; nato il 1975-01-01; reddito libero-professionale 160.000,00 €</t>
  </si>
  <si>
    <t xml:space="preserve">B3</t>
  </si>
  <si>
    <t xml:space="preserve">Under 40 con reddito sotto la soglia: nessuna Quota B</t>
  </si>
  <si>
    <t xml:space="preserve">Redditi 2026; nato il 1995-01-01; reddito libero-professionale 5.000,00 €</t>
  </si>
  <si>
    <t xml:space="preserve">AC1</t>
  </si>
  <si>
    <t xml:space="preserve">Acconti</t>
  </si>
  <si>
    <t xml:space="preserve">Imposta anno precedente 50 €: nessun acconto</t>
  </si>
  <si>
    <t xml:space="preserve">Imposta anno precedente (rigo differenza) 50,00 €</t>
  </si>
  <si>
    <t xml:space="preserve">Modalità</t>
  </si>
  <si>
    <t xml:space="preserve">nessuno</t>
  </si>
  <si>
    <t xml:space="preserve">1° acconto (giugno/luglio)</t>
  </si>
  <si>
    <t xml:space="preserve">2° acconto (novembre)</t>
  </si>
  <si>
    <t xml:space="preserve">AC2</t>
  </si>
  <si>
    <t xml:space="preserve">Imposta anno precedente 200 €: acconto unico a novembre</t>
  </si>
  <si>
    <t xml:space="preserve">Imposta anno precedente (rigo differenza) 200,00 €</t>
  </si>
  <si>
    <t xml:space="preserve">unica soluzione</t>
  </si>
  <si>
    <t xml:space="preserve">AC3</t>
  </si>
  <si>
    <t xml:space="preserve">Imposta anno precedente 1.435 €: due rate da 50% (soggetti ISA/forfettari)</t>
  </si>
  <si>
    <t xml:space="preserve">Imposta anno precedente (rigo differenza) 1.435,00 €</t>
  </si>
  <si>
    <t xml:space="preserve">due rate</t>
  </si>
  <si>
    <t xml:space="preserve">Righe verificate (Sì + No)</t>
  </si>
  <si>
    <t xml:space="preserve">Righe da correggere (No)</t>
  </si>
  <si>
    <t xml:space="preserve">Righe totali</t>
  </si>
  <si>
    <t xml:space="preserve">Gruppo</t>
  </si>
  <si>
    <t xml:space="preserve">Parametro</t>
  </si>
  <si>
    <t xml:space="preserve">Valore usato dall'app</t>
  </si>
  <si>
    <t xml:space="preserve">Fonte</t>
  </si>
  <si>
    <t xml:space="preserve">Nota</t>
  </si>
  <si>
    <t xml:space="preserve">Confermato?</t>
  </si>
  <si>
    <t xml:space="preserve">Valore corretto / commento</t>
  </si>
  <si>
    <t xml:space="preserve">Limite ricavi</t>
  </si>
  <si>
    <t xml:space="preserve">85.000,00 €</t>
  </si>
  <si>
    <t xml:space="preserve">L. 190/2014 art. 1 c. 54-89; coefficiente ATECO 86.2x = 78%</t>
  </si>
  <si>
    <t xml:space="preserve">Uscita immediata oltre</t>
  </si>
  <si>
    <t xml:space="preserve">100.000,00 €</t>
  </si>
  <si>
    <t xml:space="preserve">Coefficiente di redditività (ATECO 86.2x)</t>
  </si>
  <si>
    <t xml:space="preserve">78%</t>
  </si>
  <si>
    <t xml:space="preserve">Aliquota startup (primi 5 anni)</t>
  </si>
  <si>
    <t xml:space="preserve">5%</t>
  </si>
  <si>
    <t xml:space="preserve">Aliquota ordinaria</t>
  </si>
  <si>
    <t xml:space="preserve">15%</t>
  </si>
  <si>
    <t xml:space="preserve">IRPEF 2026</t>
  </si>
  <si>
    <t xml:space="preserve">Scaglione 1: 0 – 28.000,00 €</t>
  </si>
  <si>
    <t xml:space="preserve">23%</t>
  </si>
  <si>
    <t xml:space="preserve">L. 199/2025 (Legge di Bilancio 2026) art. 1 c. 3</t>
  </si>
  <si>
    <t xml:space="preserve">Scaglione 2: 28.000,00 € – 50.000,00 €</t>
  </si>
  <si>
    <t xml:space="preserve">33%</t>
  </si>
  <si>
    <t xml:space="preserve">Scaglione 3: 50.000,00 € – oltre</t>
  </si>
  <si>
    <t xml:space="preserve">43%</t>
  </si>
  <si>
    <t xml:space="preserve">Detrazione lavoro autonomo</t>
  </si>
  <si>
    <t xml:space="preserve">Fino a 5.500,00 €</t>
  </si>
  <si>
    <t xml:space="preserve">1.265,00 €</t>
  </si>
  <si>
    <t xml:space="preserve">Art. 13 c. 5 TUIR</t>
  </si>
  <si>
    <t xml:space="preserve">Da 5.500,00 € a 28.000,00 €</t>
  </si>
  <si>
    <t xml:space="preserve">500,00 € + 765,00 € × (28.000 − reddito) / 22.500</t>
  </si>
  <si>
    <t xml:space="preserve">Da 28.000,00 € a 50.000,00 €</t>
  </si>
  <si>
    <t xml:space="preserve">500,00 € × (50.000 − reddito) / 22.000</t>
  </si>
  <si>
    <t xml:space="preserve">Nessun acconto sotto</t>
  </si>
  <si>
    <t xml:space="preserve">51,65 €</t>
  </si>
  <si>
    <t xml:space="preserve">Art. 17 DPR 435/2001; soggetti ISA e forfettari in due rate da 50%</t>
  </si>
  <si>
    <t xml:space="preserve">Unica soluzione (novembre) sotto</t>
  </si>
  <si>
    <t xml:space="preserve">257,52 €</t>
  </si>
  <si>
    <t xml:space="preserve">Percentuale acconto</t>
  </si>
  <si>
    <t xml:space="preserve">100%</t>
  </si>
  <si>
    <t xml:space="preserve">Prima rata soggetti ISA/forfettari</t>
  </si>
  <si>
    <t xml:space="preserve">50%</t>
  </si>
  <si>
    <t xml:space="preserve">Acconto addizionale comunale</t>
  </si>
  <si>
    <t xml:space="preserve">30%</t>
  </si>
  <si>
    <t xml:space="preserve">ENPAM</t>
  </si>
  <si>
    <t xml:space="preserve">Quota A fino a 30 anni</t>
  </si>
  <si>
    <t xml:space="preserve">291,61 €</t>
  </si>
  <si>
    <t xml:space="preserve">Quota A: partitaiva.it / Fiscozen (2026); Quota B: istruzioni Modello D 2026 (Giornale della Previdenza) e enpam.it</t>
  </si>
  <si>
    <t xml:space="preserve">Importi Quota A 2026 discordanti tra le fonti (es. money.it riporta 304,73 / 591,47 / 1.109,92 / 2.049,83 e maternità 84,26). Verificare sul bollettino ENPAM.</t>
  </si>
  <si>
    <t xml:space="preserve">Quota A 30-35 anni</t>
  </si>
  <si>
    <t xml:space="preserve">566,00 €</t>
  </si>
  <si>
    <t xml:space="preserve">Quota A 35-40 anni</t>
  </si>
  <si>
    <t xml:space="preserve">1.062,12 €</t>
  </si>
  <si>
    <t xml:space="preserve">Quota A da 40 anni</t>
  </si>
  <si>
    <t xml:space="preserve">1.961,56 €</t>
  </si>
  <si>
    <t xml:space="preserve">Contributo maternità</t>
  </si>
  <si>
    <t xml:space="preserve">95,54 €</t>
  </si>
  <si>
    <t xml:space="preserve">Quota B aliquota intera</t>
  </si>
  <si>
    <t xml:space="preserve">19,5%</t>
  </si>
  <si>
    <t xml:space="preserve">Quota B massimale</t>
  </si>
  <si>
    <t xml:space="preserve">150.000,00 €</t>
  </si>
  <si>
    <t xml:space="preserve">Quota B oltre massimale</t>
  </si>
  <si>
    <t xml:space="preserve">1%</t>
  </si>
  <si>
    <t xml:space="preserve">Soglia esente under 40</t>
  </si>
  <si>
    <t xml:space="preserve">5.446,77 €</t>
  </si>
  <si>
    <t xml:space="preserve">Soglia esente over 40</t>
  </si>
  <si>
    <t xml:space="preserve">10.059,28 €</t>
  </si>
  <si>
    <t xml:space="preserve">IVA e bollo</t>
  </si>
  <si>
    <t xml:space="preserve">Bollo: soglia</t>
  </si>
  <si>
    <t xml:space="preserve">77,47 €</t>
  </si>
  <si>
    <t xml:space="preserve">DPR 642/72, tariffa art. 13</t>
  </si>
  <si>
    <t xml:space="preserve">D.Lgs. 192/2024: dal 2025 i rimborsi di spese addebitate al cliente non concorrono al reddito di lavoro autonomo. Verificare se vale anche per il bollo e per i forfettari.</t>
  </si>
  <si>
    <t xml:space="preserve">Bollo: importo</t>
  </si>
  <si>
    <t xml:space="preserve">2,00 €</t>
  </si>
  <si>
    <t xml:space="preserve">Bollo riaddebitato concorre al reddito</t>
  </si>
  <si>
    <t xml:space="preserve">no</t>
  </si>
  <si>
    <t xml:space="preserve">IVA aliquota prestazioni non sanitarie</t>
  </si>
  <si>
    <t xml:space="preserve">22%</t>
  </si>
  <si>
    <t xml:space="preserve">Interessi liquidazione trimestrale</t>
  </si>
  <si>
    <t xml:space="preserve">Spese (ordinario)</t>
  </si>
  <si>
    <t xml:space="preserve">Deducibilità affitto_studio</t>
  </si>
  <si>
    <t xml:space="preserve">Art. 54 TUIR (prima della riforma D.Lgs. 192/2024: verificare le novità sul reddito di lavoro autonomo)</t>
  </si>
  <si>
    <t xml:space="preserve">Deducibilità utenze</t>
  </si>
  <si>
    <t xml:space="preserve">Deducibilità materiale_sanitario</t>
  </si>
  <si>
    <t xml:space="preserve">Deducibilità attrezzature</t>
  </si>
  <si>
    <t xml:space="preserve">Deducibilità assicurazione_rc</t>
  </si>
  <si>
    <t xml:space="preserve">Deducibilità formazione_ecm</t>
  </si>
  <si>
    <t xml:space="preserve">Deducibilità software</t>
  </si>
  <si>
    <t xml:space="preserve">Deducibilità telefono_internet</t>
  </si>
  <si>
    <t xml:space="preserve">80%</t>
  </si>
  <si>
    <t xml:space="preserve">Deducibilità auto</t>
  </si>
  <si>
    <t xml:space="preserve">20%</t>
  </si>
  <si>
    <t xml:space="preserve">Deducibilità ristoranti_alberghi</t>
  </si>
  <si>
    <t xml:space="preserve">75%</t>
  </si>
  <si>
    <t xml:space="preserve">Deducibilità commercialista</t>
  </si>
  <si>
    <t xml:space="preserve">Deducibilità quota_ordine</t>
  </si>
  <si>
    <t xml:space="preserve">Deducibilità personale</t>
  </si>
  <si>
    <t xml:space="preserve">Deducibilità contributi_enpam</t>
  </si>
  <si>
    <t xml:space="preserve">0%</t>
  </si>
  <si>
    <t xml:space="preserve">Deducibilità imposte_f24</t>
  </si>
  <si>
    <t xml:space="preserve">Deducibilità personale_non_deducibile</t>
  </si>
  <si>
    <t xml:space="preserve">Deducibilità altro</t>
  </si>
  <si>
    <t xml:space="preserve">Scadenze 2026</t>
  </si>
  <si>
    <t xml:space="preserve">Saldo e 1° acconto ISA/forfettari</t>
  </si>
  <si>
    <t xml:space="preserve">2026-07-20</t>
  </si>
  <si>
    <t xml:space="preserve">Proroga ISA/forfettari 2026 al 20 luglio (edotto.com, centrofiscale.com); Modello D: istruzioni ENPAM 2026</t>
  </si>
  <si>
    <t xml:space="preserve">2° acconto</t>
  </si>
  <si>
    <t xml:space="preserve">2026-11-30</t>
  </si>
  <si>
    <t xml:space="preserve">Dichiarazione dei redditi</t>
  </si>
  <si>
    <t xml:space="preserve">2026-10-31</t>
  </si>
  <si>
    <t xml:space="preserve">Invio Sistema TS</t>
  </si>
  <si>
    <t xml:space="preserve">2026-01-31</t>
  </si>
  <si>
    <t xml:space="preserve">Modello D ENPAM</t>
  </si>
  <si>
    <t xml:space="preserve">2026-07-31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</si>
</sst>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&quot; €&quot;;\-#,##0.00&quot; €&quot;;\-"/>
    <numFmt numFmtId="166" formatCode="0.00%"/>
    <numFmt numFmtId="167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F8D7DA"/>
        </patternFill>
      </fill>
    </dxf>
    <dxf>
      <fill>
        <patternFill>
          <bgColor rgb="FFD4ED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23.8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42"/>
    <col collapsed="false" customWidth="true" hidden="false" outlineLevel="0" max="4" min="4" style="0" width="60"/>
    <col collapsed="false" customWidth="true" hidden="false" outlineLevel="0" max="5" min="5" style="0" width="38"/>
    <col collapsed="false" customWidth="true" hidden="false" outlineLevel="0" max="6" min="6" style="0" width="18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40"/>
  </cols>
  <sheetData>
    <row r="1" customFormat="false" ht="31.5" hidden="false" customHeight="true" outlineLevel="0" collapsed="false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</row>
    <row r="2" customFormat="false" ht="23.85" hidden="false" customHeight="false" outlineLevel="0" collapsed="false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7" t="n">
        <v>31200</v>
      </c>
      <c r="G2" s="8"/>
      <c r="H2" s="9"/>
      <c r="I2" s="10" t="str">
        <f aca="false">IF(H2="","",H2-F2)</f>
        <v/>
      </c>
      <c r="J2" s="8"/>
    </row>
    <row r="3" customFormat="false" ht="23.85" hidden="false" customHeight="false" outlineLevel="0" collapsed="false">
      <c r="A3" s="6" t="s">
        <v>26</v>
      </c>
      <c r="B3" s="6" t="s">
        <v>27</v>
      </c>
      <c r="C3" s="6" t="s">
        <v>28</v>
      </c>
      <c r="D3" s="6" t="s">
        <v>29</v>
      </c>
      <c r="E3" s="6" t="s">
        <v>31</v>
      </c>
      <c r="F3" s="7" t="n">
        <v>28700</v>
      </c>
      <c r="G3" s="8"/>
      <c r="H3" s="9"/>
      <c r="I3" s="10" t="str">
        <f aca="false">IF(H3="","",H3-F3)</f>
        <v/>
      </c>
      <c r="J3" s="8"/>
    </row>
    <row r="4" customFormat="false" ht="23.85" hidden="false" customHeight="false" outlineLevel="0" collapsed="false">
      <c r="A4" s="6" t="s">
        <v>26</v>
      </c>
      <c r="B4" s="6" t="s">
        <v>27</v>
      </c>
      <c r="C4" s="6" t="s">
        <v>28</v>
      </c>
      <c r="D4" s="6" t="s">
        <v>29</v>
      </c>
      <c r="E4" s="6" t="s">
        <v>32</v>
      </c>
      <c r="F4" s="11" t="n">
        <v>0.05</v>
      </c>
      <c r="G4" s="8"/>
      <c r="H4" s="12"/>
      <c r="I4" s="13" t="str">
        <f aca="false">IF(H4="","",H4-F4)</f>
        <v/>
      </c>
      <c r="J4" s="8"/>
    </row>
    <row r="5" customFormat="false" ht="23.85" hidden="false" customHeight="false" outlineLevel="0" collapsed="false">
      <c r="A5" s="6" t="s">
        <v>26</v>
      </c>
      <c r="B5" s="6" t="s">
        <v>27</v>
      </c>
      <c r="C5" s="6" t="s">
        <v>28</v>
      </c>
      <c r="D5" s="6" t="s">
        <v>29</v>
      </c>
      <c r="E5" s="6" t="s">
        <v>33</v>
      </c>
      <c r="F5" s="7" t="n">
        <v>1435</v>
      </c>
      <c r="G5" s="8"/>
      <c r="H5" s="9"/>
      <c r="I5" s="10" t="str">
        <f aca="false">IF(H5="","",H5-F5)</f>
        <v/>
      </c>
      <c r="J5" s="8"/>
    </row>
    <row r="6" customFormat="false" ht="23.85" hidden="false" customHeight="false" outlineLevel="0" collapsed="false">
      <c r="A6" s="6" t="s">
        <v>34</v>
      </c>
      <c r="B6" s="6" t="s">
        <v>27</v>
      </c>
      <c r="C6" s="6" t="s">
        <v>35</v>
      </c>
      <c r="D6" s="6" t="s">
        <v>36</v>
      </c>
      <c r="E6" s="6" t="s">
        <v>30</v>
      </c>
      <c r="F6" s="7" t="n">
        <v>46800</v>
      </c>
      <c r="G6" s="8"/>
      <c r="H6" s="9"/>
      <c r="I6" s="10" t="str">
        <f aca="false">IF(H6="","",H6-F6)</f>
        <v/>
      </c>
      <c r="J6" s="8"/>
    </row>
    <row r="7" customFormat="false" ht="23.85" hidden="false" customHeight="false" outlineLevel="0" collapsed="false">
      <c r="A7" s="6" t="s">
        <v>34</v>
      </c>
      <c r="B7" s="6" t="s">
        <v>27</v>
      </c>
      <c r="C7" s="6" t="s">
        <v>35</v>
      </c>
      <c r="D7" s="6" t="s">
        <v>36</v>
      </c>
      <c r="E7" s="6" t="s">
        <v>31</v>
      </c>
      <c r="F7" s="7" t="n">
        <v>42800</v>
      </c>
      <c r="G7" s="8"/>
      <c r="H7" s="9"/>
      <c r="I7" s="10" t="str">
        <f aca="false">IF(H7="","",H7-F7)</f>
        <v/>
      </c>
      <c r="J7" s="8"/>
    </row>
    <row r="8" customFormat="false" ht="23.85" hidden="false" customHeight="false" outlineLevel="0" collapsed="false">
      <c r="A8" s="6" t="s">
        <v>34</v>
      </c>
      <c r="B8" s="6" t="s">
        <v>27</v>
      </c>
      <c r="C8" s="6" t="s">
        <v>35</v>
      </c>
      <c r="D8" s="6" t="s">
        <v>36</v>
      </c>
      <c r="E8" s="6" t="s">
        <v>32</v>
      </c>
      <c r="F8" s="11" t="n">
        <v>0.15</v>
      </c>
      <c r="G8" s="8"/>
      <c r="H8" s="12"/>
      <c r="I8" s="13" t="str">
        <f aca="false">IF(H8="","",H8-F8)</f>
        <v/>
      </c>
      <c r="J8" s="8"/>
    </row>
    <row r="9" customFormat="false" ht="23.85" hidden="false" customHeight="false" outlineLevel="0" collapsed="false">
      <c r="A9" s="6" t="s">
        <v>34</v>
      </c>
      <c r="B9" s="6" t="s">
        <v>27</v>
      </c>
      <c r="C9" s="6" t="s">
        <v>35</v>
      </c>
      <c r="D9" s="6" t="s">
        <v>36</v>
      </c>
      <c r="E9" s="6" t="s">
        <v>33</v>
      </c>
      <c r="F9" s="7" t="n">
        <v>6420</v>
      </c>
      <c r="G9" s="8"/>
      <c r="H9" s="9"/>
      <c r="I9" s="10" t="str">
        <f aca="false">IF(H9="","",H9-F9)</f>
        <v/>
      </c>
      <c r="J9" s="8"/>
    </row>
    <row r="10" customFormat="false" ht="23.85" hidden="false" customHeight="false" outlineLevel="0" collapsed="false">
      <c r="A10" s="6" t="s">
        <v>37</v>
      </c>
      <c r="B10" s="6" t="s">
        <v>27</v>
      </c>
      <c r="C10" s="6" t="s">
        <v>38</v>
      </c>
      <c r="D10" s="6" t="s">
        <v>39</v>
      </c>
      <c r="E10" s="6" t="s">
        <v>30</v>
      </c>
      <c r="F10" s="7" t="n">
        <v>19500</v>
      </c>
      <c r="G10" s="8"/>
      <c r="H10" s="9"/>
      <c r="I10" s="10" t="str">
        <f aca="false">IF(H10="","",H10-F10)</f>
        <v/>
      </c>
      <c r="J10" s="8"/>
    </row>
    <row r="11" customFormat="false" ht="23.85" hidden="false" customHeight="false" outlineLevel="0" collapsed="false">
      <c r="A11" s="6" t="s">
        <v>37</v>
      </c>
      <c r="B11" s="6" t="s">
        <v>27</v>
      </c>
      <c r="C11" s="6" t="s">
        <v>38</v>
      </c>
      <c r="D11" s="6" t="s">
        <v>39</v>
      </c>
      <c r="E11" s="6" t="s">
        <v>31</v>
      </c>
      <c r="F11" s="7" t="n">
        <v>19500</v>
      </c>
      <c r="G11" s="8"/>
      <c r="H11" s="9"/>
      <c r="I11" s="10" t="str">
        <f aca="false">IF(H11="","",H11-F11)</f>
        <v/>
      </c>
      <c r="J11" s="8"/>
    </row>
    <row r="12" customFormat="false" ht="23.85" hidden="false" customHeight="false" outlineLevel="0" collapsed="false">
      <c r="A12" s="6" t="s">
        <v>37</v>
      </c>
      <c r="B12" s="6" t="s">
        <v>27</v>
      </c>
      <c r="C12" s="6" t="s">
        <v>38</v>
      </c>
      <c r="D12" s="6" t="s">
        <v>39</v>
      </c>
      <c r="E12" s="6" t="s">
        <v>32</v>
      </c>
      <c r="F12" s="11" t="n">
        <v>0.15</v>
      </c>
      <c r="G12" s="8"/>
      <c r="H12" s="12"/>
      <c r="I12" s="13" t="str">
        <f aca="false">IF(H12="","",H12-F12)</f>
        <v/>
      </c>
      <c r="J12" s="8"/>
    </row>
    <row r="13" customFormat="false" ht="23.85" hidden="false" customHeight="false" outlineLevel="0" collapsed="false">
      <c r="A13" s="6" t="s">
        <v>37</v>
      </c>
      <c r="B13" s="6" t="s">
        <v>27</v>
      </c>
      <c r="C13" s="6" t="s">
        <v>38</v>
      </c>
      <c r="D13" s="6" t="s">
        <v>39</v>
      </c>
      <c r="E13" s="6" t="s">
        <v>33</v>
      </c>
      <c r="F13" s="7" t="n">
        <v>2925</v>
      </c>
      <c r="G13" s="8"/>
      <c r="H13" s="9"/>
      <c r="I13" s="10" t="str">
        <f aca="false">IF(H13="","",H13-F13)</f>
        <v/>
      </c>
      <c r="J13" s="8"/>
    </row>
    <row r="14" customFormat="false" ht="23.85" hidden="false" customHeight="false" outlineLevel="0" collapsed="false">
      <c r="A14" s="6" t="s">
        <v>40</v>
      </c>
      <c r="B14" s="6" t="s">
        <v>27</v>
      </c>
      <c r="C14" s="6" t="s">
        <v>41</v>
      </c>
      <c r="D14" s="6" t="s">
        <v>42</v>
      </c>
      <c r="E14" s="6" t="s">
        <v>30</v>
      </c>
      <c r="F14" s="7" t="n">
        <v>3900</v>
      </c>
      <c r="G14" s="8"/>
      <c r="H14" s="9"/>
      <c r="I14" s="10" t="str">
        <f aca="false">IF(H14="","",H14-F14)</f>
        <v/>
      </c>
      <c r="J14" s="8"/>
    </row>
    <row r="15" customFormat="false" ht="23.85" hidden="false" customHeight="false" outlineLevel="0" collapsed="false">
      <c r="A15" s="6" t="s">
        <v>40</v>
      </c>
      <c r="B15" s="6" t="s">
        <v>27</v>
      </c>
      <c r="C15" s="6" t="s">
        <v>41</v>
      </c>
      <c r="D15" s="6" t="s">
        <v>42</v>
      </c>
      <c r="E15" s="6" t="s">
        <v>31</v>
      </c>
      <c r="F15" s="7" t="n">
        <v>0</v>
      </c>
      <c r="G15" s="8"/>
      <c r="H15" s="9"/>
      <c r="I15" s="10" t="str">
        <f aca="false">IF(H15="","",H15-F15)</f>
        <v/>
      </c>
      <c r="J15" s="8"/>
    </row>
    <row r="16" customFormat="false" ht="23.85" hidden="false" customHeight="false" outlineLevel="0" collapsed="false">
      <c r="A16" s="6" t="s">
        <v>40</v>
      </c>
      <c r="B16" s="6" t="s">
        <v>27</v>
      </c>
      <c r="C16" s="6" t="s">
        <v>41</v>
      </c>
      <c r="D16" s="6" t="s">
        <v>42</v>
      </c>
      <c r="E16" s="6" t="s">
        <v>32</v>
      </c>
      <c r="F16" s="11" t="n">
        <v>0.05</v>
      </c>
      <c r="G16" s="8"/>
      <c r="H16" s="12"/>
      <c r="I16" s="13" t="str">
        <f aca="false">IF(H16="","",H16-F16)</f>
        <v/>
      </c>
      <c r="J16" s="8"/>
    </row>
    <row r="17" customFormat="false" ht="23.85" hidden="false" customHeight="false" outlineLevel="0" collapsed="false">
      <c r="A17" s="6" t="s">
        <v>40</v>
      </c>
      <c r="B17" s="6" t="s">
        <v>27</v>
      </c>
      <c r="C17" s="6" t="s">
        <v>41</v>
      </c>
      <c r="D17" s="6" t="s">
        <v>42</v>
      </c>
      <c r="E17" s="6" t="s">
        <v>33</v>
      </c>
      <c r="F17" s="7" t="n">
        <v>0</v>
      </c>
      <c r="G17" s="8"/>
      <c r="H17" s="9"/>
      <c r="I17" s="10" t="str">
        <f aca="false">IF(H17="","",H17-F17)</f>
        <v/>
      </c>
      <c r="J17" s="8"/>
    </row>
    <row r="18" customFormat="false" ht="57.45" hidden="false" customHeight="false" outlineLevel="0" collapsed="false">
      <c r="A18" s="6" t="s">
        <v>43</v>
      </c>
      <c r="B18" s="6" t="s">
        <v>44</v>
      </c>
      <c r="C18" s="6" t="s">
        <v>45</v>
      </c>
      <c r="D18" s="6" t="s">
        <v>46</v>
      </c>
      <c r="E18" s="6" t="s">
        <v>47</v>
      </c>
      <c r="F18" s="7" t="n">
        <v>8200</v>
      </c>
      <c r="G18" s="8"/>
      <c r="H18" s="9"/>
      <c r="I18" s="10" t="str">
        <f aca="false">IF(H18="","",H18-F18)</f>
        <v/>
      </c>
      <c r="J18" s="8"/>
    </row>
    <row r="19" customFormat="false" ht="57.45" hidden="false" customHeight="false" outlineLevel="0" collapsed="false">
      <c r="A19" s="6" t="s">
        <v>43</v>
      </c>
      <c r="B19" s="6" t="s">
        <v>44</v>
      </c>
      <c r="C19" s="6" t="s">
        <v>45</v>
      </c>
      <c r="D19" s="6" t="s">
        <v>46</v>
      </c>
      <c r="E19" s="6" t="s">
        <v>48</v>
      </c>
      <c r="F19" s="7" t="n">
        <v>61800</v>
      </c>
      <c r="G19" s="8"/>
      <c r="H19" s="9"/>
      <c r="I19" s="10" t="str">
        <f aca="false">IF(H19="","",H19-F19)</f>
        <v/>
      </c>
      <c r="J19" s="8"/>
    </row>
    <row r="20" customFormat="false" ht="57.45" hidden="false" customHeight="false" outlineLevel="0" collapsed="false">
      <c r="A20" s="6" t="s">
        <v>43</v>
      </c>
      <c r="B20" s="6" t="s">
        <v>44</v>
      </c>
      <c r="C20" s="6" t="s">
        <v>45</v>
      </c>
      <c r="D20" s="6" t="s">
        <v>46</v>
      </c>
      <c r="E20" s="6" t="s">
        <v>49</v>
      </c>
      <c r="F20" s="7" t="n">
        <v>53800</v>
      </c>
      <c r="G20" s="8"/>
      <c r="H20" s="9"/>
      <c r="I20" s="10" t="str">
        <f aca="false">IF(H20="","",H20-F20)</f>
        <v/>
      </c>
      <c r="J20" s="8"/>
    </row>
    <row r="21" customFormat="false" ht="57.45" hidden="false" customHeight="false" outlineLevel="0" collapsed="false">
      <c r="A21" s="6" t="s">
        <v>43</v>
      </c>
      <c r="B21" s="6" t="s">
        <v>44</v>
      </c>
      <c r="C21" s="6" t="s">
        <v>45</v>
      </c>
      <c r="D21" s="6" t="s">
        <v>46</v>
      </c>
      <c r="E21" s="6" t="s">
        <v>50</v>
      </c>
      <c r="F21" s="7" t="n">
        <v>15334</v>
      </c>
      <c r="G21" s="8"/>
      <c r="H21" s="9"/>
      <c r="I21" s="10" t="str">
        <f aca="false">IF(H21="","",H21-F21)</f>
        <v/>
      </c>
      <c r="J21" s="8"/>
    </row>
    <row r="22" customFormat="false" ht="57.45" hidden="false" customHeight="false" outlineLevel="0" collapsed="false">
      <c r="A22" s="6" t="s">
        <v>43</v>
      </c>
      <c r="B22" s="6" t="s">
        <v>44</v>
      </c>
      <c r="C22" s="6" t="s">
        <v>45</v>
      </c>
      <c r="D22" s="6" t="s">
        <v>46</v>
      </c>
      <c r="E22" s="6" t="s">
        <v>51</v>
      </c>
      <c r="F22" s="7" t="n">
        <v>0</v>
      </c>
      <c r="G22" s="8"/>
      <c r="H22" s="9"/>
      <c r="I22" s="10" t="str">
        <f aca="false">IF(H22="","",H22-F22)</f>
        <v/>
      </c>
      <c r="J22" s="8"/>
    </row>
    <row r="23" customFormat="false" ht="57.45" hidden="false" customHeight="false" outlineLevel="0" collapsed="false">
      <c r="A23" s="6" t="s">
        <v>43</v>
      </c>
      <c r="B23" s="6" t="s">
        <v>44</v>
      </c>
      <c r="C23" s="6" t="s">
        <v>45</v>
      </c>
      <c r="D23" s="6" t="s">
        <v>46</v>
      </c>
      <c r="E23" s="6" t="s">
        <v>52</v>
      </c>
      <c r="F23" s="7" t="n">
        <v>15334</v>
      </c>
      <c r="G23" s="8"/>
      <c r="H23" s="9"/>
      <c r="I23" s="10" t="str">
        <f aca="false">IF(H23="","",H23-F23)</f>
        <v/>
      </c>
      <c r="J23" s="8"/>
    </row>
    <row r="24" customFormat="false" ht="57.45" hidden="false" customHeight="false" outlineLevel="0" collapsed="false">
      <c r="A24" s="6" t="s">
        <v>43</v>
      </c>
      <c r="B24" s="6" t="s">
        <v>44</v>
      </c>
      <c r="C24" s="6" t="s">
        <v>45</v>
      </c>
      <c r="D24" s="6" t="s">
        <v>46</v>
      </c>
      <c r="E24" s="6" t="s">
        <v>53</v>
      </c>
      <c r="F24" s="7" t="n">
        <v>1385.54</v>
      </c>
      <c r="G24" s="8"/>
      <c r="H24" s="9"/>
      <c r="I24" s="10" t="str">
        <f aca="false">IF(H24="","",H24-F24)</f>
        <v/>
      </c>
      <c r="J24" s="8"/>
    </row>
    <row r="25" customFormat="false" ht="57.45" hidden="false" customHeight="false" outlineLevel="0" collapsed="false">
      <c r="A25" s="6" t="s">
        <v>43</v>
      </c>
      <c r="B25" s="6" t="s">
        <v>44</v>
      </c>
      <c r="C25" s="6" t="s">
        <v>45</v>
      </c>
      <c r="D25" s="6" t="s">
        <v>46</v>
      </c>
      <c r="E25" s="6" t="s">
        <v>54</v>
      </c>
      <c r="F25" s="7" t="n">
        <v>430.4</v>
      </c>
      <c r="G25" s="8"/>
      <c r="H25" s="9"/>
      <c r="I25" s="10" t="str">
        <f aca="false">IF(H25="","",H25-F25)</f>
        <v/>
      </c>
      <c r="J25" s="8"/>
    </row>
    <row r="26" customFormat="false" ht="46.25" hidden="false" customHeight="false" outlineLevel="0" collapsed="false">
      <c r="A26" s="6" t="s">
        <v>55</v>
      </c>
      <c r="B26" s="6" t="s">
        <v>44</v>
      </c>
      <c r="C26" s="6" t="s">
        <v>56</v>
      </c>
      <c r="D26" s="6" t="s">
        <v>57</v>
      </c>
      <c r="E26" s="6" t="s">
        <v>47</v>
      </c>
      <c r="F26" s="7" t="n">
        <v>4000</v>
      </c>
      <c r="G26" s="8"/>
      <c r="H26" s="9"/>
      <c r="I26" s="10" t="str">
        <f aca="false">IF(H26="","",H26-F26)</f>
        <v/>
      </c>
      <c r="J26" s="8"/>
    </row>
    <row r="27" customFormat="false" ht="46.25" hidden="false" customHeight="false" outlineLevel="0" collapsed="false">
      <c r="A27" s="6" t="s">
        <v>55</v>
      </c>
      <c r="B27" s="6" t="s">
        <v>44</v>
      </c>
      <c r="C27" s="6" t="s">
        <v>56</v>
      </c>
      <c r="D27" s="6" t="s">
        <v>57</v>
      </c>
      <c r="E27" s="6" t="s">
        <v>48</v>
      </c>
      <c r="F27" s="7" t="n">
        <v>26000</v>
      </c>
      <c r="G27" s="8"/>
      <c r="H27" s="9"/>
      <c r="I27" s="10" t="str">
        <f aca="false">IF(H27="","",H27-F27)</f>
        <v/>
      </c>
      <c r="J27" s="8"/>
    </row>
    <row r="28" customFormat="false" ht="46.25" hidden="false" customHeight="false" outlineLevel="0" collapsed="false">
      <c r="A28" s="6" t="s">
        <v>55</v>
      </c>
      <c r="B28" s="6" t="s">
        <v>44</v>
      </c>
      <c r="C28" s="6" t="s">
        <v>56</v>
      </c>
      <c r="D28" s="6" t="s">
        <v>57</v>
      </c>
      <c r="E28" s="6" t="s">
        <v>49</v>
      </c>
      <c r="F28" s="7" t="n">
        <v>20000</v>
      </c>
      <c r="G28" s="8"/>
      <c r="H28" s="9"/>
      <c r="I28" s="10" t="str">
        <f aca="false">IF(H28="","",H28-F28)</f>
        <v/>
      </c>
      <c r="J28" s="8"/>
    </row>
    <row r="29" customFormat="false" ht="46.25" hidden="false" customHeight="false" outlineLevel="0" collapsed="false">
      <c r="A29" s="6" t="s">
        <v>55</v>
      </c>
      <c r="B29" s="6" t="s">
        <v>44</v>
      </c>
      <c r="C29" s="6" t="s">
        <v>56</v>
      </c>
      <c r="D29" s="6" t="s">
        <v>57</v>
      </c>
      <c r="E29" s="6" t="s">
        <v>50</v>
      </c>
      <c r="F29" s="7" t="n">
        <v>4600</v>
      </c>
      <c r="G29" s="8"/>
      <c r="H29" s="9"/>
      <c r="I29" s="10" t="str">
        <f aca="false">IF(H29="","",H29-F29)</f>
        <v/>
      </c>
      <c r="J29" s="8"/>
    </row>
    <row r="30" customFormat="false" ht="46.25" hidden="false" customHeight="false" outlineLevel="0" collapsed="false">
      <c r="A30" s="6" t="s">
        <v>55</v>
      </c>
      <c r="B30" s="6" t="s">
        <v>44</v>
      </c>
      <c r="C30" s="6" t="s">
        <v>56</v>
      </c>
      <c r="D30" s="6" t="s">
        <v>57</v>
      </c>
      <c r="E30" s="6" t="s">
        <v>51</v>
      </c>
      <c r="F30" s="7" t="n">
        <v>568</v>
      </c>
      <c r="G30" s="8"/>
      <c r="H30" s="9"/>
      <c r="I30" s="10" t="str">
        <f aca="false">IF(H30="","",H30-F30)</f>
        <v/>
      </c>
      <c r="J30" s="8"/>
    </row>
    <row r="31" customFormat="false" ht="46.25" hidden="false" customHeight="false" outlineLevel="0" collapsed="false">
      <c r="A31" s="6" t="s">
        <v>55</v>
      </c>
      <c r="B31" s="6" t="s">
        <v>44</v>
      </c>
      <c r="C31" s="6" t="s">
        <v>56</v>
      </c>
      <c r="D31" s="6" t="s">
        <v>57</v>
      </c>
      <c r="E31" s="6" t="s">
        <v>52</v>
      </c>
      <c r="F31" s="7" t="n">
        <v>4032</v>
      </c>
      <c r="G31" s="8"/>
      <c r="H31" s="9"/>
      <c r="I31" s="10" t="str">
        <f aca="false">IF(H31="","",H31-F31)</f>
        <v/>
      </c>
      <c r="J31" s="8"/>
    </row>
    <row r="32" customFormat="false" ht="46.25" hidden="false" customHeight="false" outlineLevel="0" collapsed="false">
      <c r="A32" s="6" t="s">
        <v>55</v>
      </c>
      <c r="B32" s="6" t="s">
        <v>44</v>
      </c>
      <c r="C32" s="6" t="s">
        <v>56</v>
      </c>
      <c r="D32" s="6" t="s">
        <v>57</v>
      </c>
      <c r="E32" s="6" t="s">
        <v>53</v>
      </c>
      <c r="F32" s="7" t="n">
        <v>396</v>
      </c>
      <c r="G32" s="8"/>
      <c r="H32" s="9"/>
      <c r="I32" s="10" t="str">
        <f aca="false">IF(H32="","",H32-F32)</f>
        <v/>
      </c>
      <c r="J32" s="8"/>
    </row>
    <row r="33" customFormat="false" ht="46.25" hidden="false" customHeight="false" outlineLevel="0" collapsed="false">
      <c r="A33" s="6" t="s">
        <v>55</v>
      </c>
      <c r="B33" s="6" t="s">
        <v>44</v>
      </c>
      <c r="C33" s="6" t="s">
        <v>56</v>
      </c>
      <c r="D33" s="6" t="s">
        <v>57</v>
      </c>
      <c r="E33" s="6" t="s">
        <v>54</v>
      </c>
      <c r="F33" s="7" t="n">
        <v>160</v>
      </c>
      <c r="G33" s="8"/>
      <c r="H33" s="9"/>
      <c r="I33" s="10" t="str">
        <f aca="false">IF(H33="","",H33-F33)</f>
        <v/>
      </c>
      <c r="J33" s="8"/>
    </row>
    <row r="34" customFormat="false" ht="23.85" hidden="false" customHeight="false" outlineLevel="0" collapsed="false">
      <c r="A34" s="6" t="s">
        <v>58</v>
      </c>
      <c r="B34" s="6" t="s">
        <v>59</v>
      </c>
      <c r="C34" s="6" t="s">
        <v>60</v>
      </c>
      <c r="D34" s="6" t="s">
        <v>61</v>
      </c>
      <c r="E34" s="6" t="s">
        <v>62</v>
      </c>
      <c r="F34" s="7" t="n">
        <v>592.94</v>
      </c>
      <c r="G34" s="8"/>
      <c r="H34" s="9"/>
      <c r="I34" s="10" t="str">
        <f aca="false">IF(H34="","",H34-F34)</f>
        <v/>
      </c>
      <c r="J34" s="8"/>
    </row>
    <row r="35" customFormat="false" ht="15" hidden="false" customHeight="false" outlineLevel="0" collapsed="false">
      <c r="A35" s="6" t="s">
        <v>63</v>
      </c>
      <c r="B35" s="6" t="s">
        <v>59</v>
      </c>
      <c r="C35" s="6" t="s">
        <v>64</v>
      </c>
      <c r="D35" s="6" t="s">
        <v>65</v>
      </c>
      <c r="E35" s="6" t="s">
        <v>62</v>
      </c>
      <c r="F35" s="7" t="n">
        <v>2057.1</v>
      </c>
      <c r="G35" s="8"/>
      <c r="H35" s="9"/>
      <c r="I35" s="10" t="str">
        <f aca="false">IF(H35="","",H35-F35)</f>
        <v/>
      </c>
      <c r="J35" s="8"/>
    </row>
    <row r="36" customFormat="false" ht="23.85" hidden="false" customHeight="false" outlineLevel="0" collapsed="false">
      <c r="A36" s="6" t="s">
        <v>66</v>
      </c>
      <c r="B36" s="6" t="s">
        <v>67</v>
      </c>
      <c r="C36" s="6" t="s">
        <v>68</v>
      </c>
      <c r="D36" s="6" t="s">
        <v>69</v>
      </c>
      <c r="E36" s="6" t="s">
        <v>70</v>
      </c>
      <c r="F36" s="7" t="n">
        <v>5446.77</v>
      </c>
      <c r="G36" s="8"/>
      <c r="H36" s="9"/>
      <c r="I36" s="10" t="str">
        <f aca="false">IF(H36="","",H36-F36)</f>
        <v/>
      </c>
      <c r="J36" s="8"/>
    </row>
    <row r="37" customFormat="false" ht="23.85" hidden="false" customHeight="false" outlineLevel="0" collapsed="false">
      <c r="A37" s="6" t="s">
        <v>66</v>
      </c>
      <c r="B37" s="6" t="s">
        <v>67</v>
      </c>
      <c r="C37" s="6" t="s">
        <v>68</v>
      </c>
      <c r="D37" s="6" t="s">
        <v>69</v>
      </c>
      <c r="E37" s="6" t="s">
        <v>71</v>
      </c>
      <c r="F37" s="7" t="n">
        <v>5021.88</v>
      </c>
      <c r="G37" s="8"/>
      <c r="H37" s="9"/>
      <c r="I37" s="10" t="str">
        <f aca="false">IF(H37="","",H37-F37)</f>
        <v/>
      </c>
      <c r="J37" s="8"/>
    </row>
    <row r="38" customFormat="false" ht="23.85" hidden="false" customHeight="false" outlineLevel="0" collapsed="false">
      <c r="A38" s="6" t="s">
        <v>72</v>
      </c>
      <c r="B38" s="6" t="s">
        <v>67</v>
      </c>
      <c r="C38" s="6" t="s">
        <v>73</v>
      </c>
      <c r="D38" s="6" t="s">
        <v>74</v>
      </c>
      <c r="E38" s="6" t="s">
        <v>70</v>
      </c>
      <c r="F38" s="7" t="n">
        <v>10059.28</v>
      </c>
      <c r="G38" s="8"/>
      <c r="H38" s="9"/>
      <c r="I38" s="10" t="str">
        <f aca="false">IF(H38="","",H38-F38)</f>
        <v/>
      </c>
      <c r="J38" s="8"/>
    </row>
    <row r="39" customFormat="false" ht="23.85" hidden="false" customHeight="false" outlineLevel="0" collapsed="false">
      <c r="A39" s="6" t="s">
        <v>72</v>
      </c>
      <c r="B39" s="6" t="s">
        <v>67</v>
      </c>
      <c r="C39" s="6" t="s">
        <v>73</v>
      </c>
      <c r="D39" s="6" t="s">
        <v>74</v>
      </c>
      <c r="E39" s="6" t="s">
        <v>71</v>
      </c>
      <c r="F39" s="7" t="n">
        <v>27388.44</v>
      </c>
      <c r="G39" s="8"/>
      <c r="H39" s="9"/>
      <c r="I39" s="10" t="str">
        <f aca="false">IF(H39="","",H39-F39)</f>
        <v/>
      </c>
      <c r="J39" s="8"/>
    </row>
    <row r="40" customFormat="false" ht="23.85" hidden="false" customHeight="false" outlineLevel="0" collapsed="false">
      <c r="A40" s="6" t="s">
        <v>75</v>
      </c>
      <c r="B40" s="6" t="s">
        <v>67</v>
      </c>
      <c r="C40" s="6" t="s">
        <v>76</v>
      </c>
      <c r="D40" s="6" t="s">
        <v>77</v>
      </c>
      <c r="E40" s="6" t="s">
        <v>70</v>
      </c>
      <c r="F40" s="7" t="n">
        <v>5446.77</v>
      </c>
      <c r="G40" s="8"/>
      <c r="H40" s="9"/>
      <c r="I40" s="10" t="str">
        <f aca="false">IF(H40="","",H40-F40)</f>
        <v/>
      </c>
      <c r="J40" s="8"/>
    </row>
    <row r="41" customFormat="false" ht="23.85" hidden="false" customHeight="false" outlineLevel="0" collapsed="false">
      <c r="A41" s="6" t="s">
        <v>75</v>
      </c>
      <c r="B41" s="6" t="s">
        <v>67</v>
      </c>
      <c r="C41" s="6" t="s">
        <v>76</v>
      </c>
      <c r="D41" s="6" t="s">
        <v>77</v>
      </c>
      <c r="E41" s="6" t="s">
        <v>71</v>
      </c>
      <c r="F41" s="7" t="n">
        <v>0</v>
      </c>
      <c r="G41" s="8"/>
      <c r="H41" s="9"/>
      <c r="I41" s="10" t="str">
        <f aca="false">IF(H41="","",H41-F41)</f>
        <v/>
      </c>
      <c r="J41" s="8"/>
    </row>
    <row r="42" customFormat="false" ht="15" hidden="false" customHeight="false" outlineLevel="0" collapsed="false">
      <c r="A42" s="6" t="s">
        <v>78</v>
      </c>
      <c r="B42" s="6" t="s">
        <v>79</v>
      </c>
      <c r="C42" s="6" t="s">
        <v>80</v>
      </c>
      <c r="D42" s="6" t="s">
        <v>81</v>
      </c>
      <c r="E42" s="6" t="s">
        <v>82</v>
      </c>
      <c r="F42" s="14" t="s">
        <v>83</v>
      </c>
      <c r="G42" s="8"/>
      <c r="H42" s="8"/>
      <c r="I42" s="15" t="str">
        <f aca="false">IF(H42="","",IF(H42=F42,"uguale","diverso"))</f>
        <v/>
      </c>
      <c r="J42" s="8"/>
    </row>
    <row r="43" customFormat="false" ht="15" hidden="false" customHeight="false" outlineLevel="0" collapsed="false">
      <c r="A43" s="6" t="s">
        <v>78</v>
      </c>
      <c r="B43" s="6" t="s">
        <v>79</v>
      </c>
      <c r="C43" s="6" t="s">
        <v>80</v>
      </c>
      <c r="D43" s="6" t="s">
        <v>81</v>
      </c>
      <c r="E43" s="6" t="s">
        <v>84</v>
      </c>
      <c r="F43" s="7" t="n">
        <v>0</v>
      </c>
      <c r="G43" s="8"/>
      <c r="H43" s="9"/>
      <c r="I43" s="10" t="str">
        <f aca="false">IF(H43="","",H43-F43)</f>
        <v/>
      </c>
      <c r="J43" s="8"/>
    </row>
    <row r="44" customFormat="false" ht="15" hidden="false" customHeight="false" outlineLevel="0" collapsed="false">
      <c r="A44" s="6" t="s">
        <v>78</v>
      </c>
      <c r="B44" s="6" t="s">
        <v>79</v>
      </c>
      <c r="C44" s="6" t="s">
        <v>80</v>
      </c>
      <c r="D44" s="6" t="s">
        <v>81</v>
      </c>
      <c r="E44" s="6" t="s">
        <v>85</v>
      </c>
      <c r="F44" s="7" t="n">
        <v>0</v>
      </c>
      <c r="G44" s="8"/>
      <c r="H44" s="9"/>
      <c r="I44" s="10" t="str">
        <f aca="false">IF(H44="","",H44-F44)</f>
        <v/>
      </c>
      <c r="J44" s="8"/>
    </row>
    <row r="45" customFormat="false" ht="23.85" hidden="false" customHeight="false" outlineLevel="0" collapsed="false">
      <c r="A45" s="6" t="s">
        <v>86</v>
      </c>
      <c r="B45" s="6" t="s">
        <v>79</v>
      </c>
      <c r="C45" s="6" t="s">
        <v>87</v>
      </c>
      <c r="D45" s="6" t="s">
        <v>88</v>
      </c>
      <c r="E45" s="6" t="s">
        <v>82</v>
      </c>
      <c r="F45" s="14" t="s">
        <v>89</v>
      </c>
      <c r="G45" s="8"/>
      <c r="H45" s="8"/>
      <c r="I45" s="15" t="str">
        <f aca="false">IF(H45="","",IF(H45=F45,"uguale","diverso"))</f>
        <v/>
      </c>
      <c r="J45" s="8"/>
    </row>
    <row r="46" customFormat="false" ht="23.85" hidden="false" customHeight="false" outlineLevel="0" collapsed="false">
      <c r="A46" s="6" t="s">
        <v>86</v>
      </c>
      <c r="B46" s="6" t="s">
        <v>79</v>
      </c>
      <c r="C46" s="6" t="s">
        <v>87</v>
      </c>
      <c r="D46" s="6" t="s">
        <v>88</v>
      </c>
      <c r="E46" s="6" t="s">
        <v>84</v>
      </c>
      <c r="F46" s="7" t="n">
        <v>0</v>
      </c>
      <c r="G46" s="8"/>
      <c r="H46" s="9"/>
      <c r="I46" s="10" t="str">
        <f aca="false">IF(H46="","",H46-F46)</f>
        <v/>
      </c>
      <c r="J46" s="8"/>
    </row>
    <row r="47" customFormat="false" ht="23.85" hidden="false" customHeight="false" outlineLevel="0" collapsed="false">
      <c r="A47" s="6" t="s">
        <v>86</v>
      </c>
      <c r="B47" s="6" t="s">
        <v>79</v>
      </c>
      <c r="C47" s="6" t="s">
        <v>87</v>
      </c>
      <c r="D47" s="6" t="s">
        <v>88</v>
      </c>
      <c r="E47" s="6" t="s">
        <v>85</v>
      </c>
      <c r="F47" s="7" t="n">
        <v>200</v>
      </c>
      <c r="G47" s="8"/>
      <c r="H47" s="9"/>
      <c r="I47" s="10" t="str">
        <f aca="false">IF(H47="","",H47-F47)</f>
        <v/>
      </c>
      <c r="J47" s="8"/>
    </row>
    <row r="48" customFormat="false" ht="23.85" hidden="false" customHeight="false" outlineLevel="0" collapsed="false">
      <c r="A48" s="6" t="s">
        <v>90</v>
      </c>
      <c r="B48" s="6" t="s">
        <v>79</v>
      </c>
      <c r="C48" s="6" t="s">
        <v>91</v>
      </c>
      <c r="D48" s="6" t="s">
        <v>92</v>
      </c>
      <c r="E48" s="6" t="s">
        <v>82</v>
      </c>
      <c r="F48" s="14" t="s">
        <v>93</v>
      </c>
      <c r="G48" s="8"/>
      <c r="H48" s="8"/>
      <c r="I48" s="15" t="str">
        <f aca="false">IF(H48="","",IF(H48=F48,"uguale","diverso"))</f>
        <v/>
      </c>
      <c r="J48" s="8"/>
    </row>
    <row r="49" customFormat="false" ht="23.85" hidden="false" customHeight="false" outlineLevel="0" collapsed="false">
      <c r="A49" s="6" t="s">
        <v>90</v>
      </c>
      <c r="B49" s="6" t="s">
        <v>79</v>
      </c>
      <c r="C49" s="6" t="s">
        <v>91</v>
      </c>
      <c r="D49" s="6" t="s">
        <v>92</v>
      </c>
      <c r="E49" s="6" t="s">
        <v>84</v>
      </c>
      <c r="F49" s="7" t="n">
        <v>717.5</v>
      </c>
      <c r="G49" s="8"/>
      <c r="H49" s="9"/>
      <c r="I49" s="10" t="str">
        <f aca="false">IF(H49="","",H49-F49)</f>
        <v/>
      </c>
      <c r="J49" s="8"/>
    </row>
    <row r="50" customFormat="false" ht="23.85" hidden="false" customHeight="false" outlineLevel="0" collapsed="false">
      <c r="A50" s="6" t="s">
        <v>90</v>
      </c>
      <c r="B50" s="6" t="s">
        <v>79</v>
      </c>
      <c r="C50" s="6" t="s">
        <v>91</v>
      </c>
      <c r="D50" s="6" t="s">
        <v>92</v>
      </c>
      <c r="E50" s="6" t="s">
        <v>85</v>
      </c>
      <c r="F50" s="7" t="n">
        <v>717.5</v>
      </c>
      <c r="G50" s="8"/>
      <c r="H50" s="9"/>
      <c r="I50" s="10" t="str">
        <f aca="false">IF(H50="","",H50-F50)</f>
        <v/>
      </c>
      <c r="J50" s="8"/>
    </row>
    <row r="52" customFormat="false" ht="15" hidden="false" customHeight="false" outlineLevel="0" collapsed="false">
      <c r="E52" s="16" t="s">
        <v>94</v>
      </c>
      <c r="F52" s="17" t="n">
        <f aca="false">COUNTIF(G2:G50,"Sì")+COUNTIF(G2:G50,"No")</f>
        <v>0</v>
      </c>
    </row>
    <row r="53" customFormat="false" ht="15" hidden="false" customHeight="false" outlineLevel="0" collapsed="false">
      <c r="E53" s="16" t="s">
        <v>95</v>
      </c>
      <c r="F53" s="17" t="n">
        <f aca="false">COUNTIF(G2:G50,"No")</f>
        <v>0</v>
      </c>
    </row>
    <row r="54" customFormat="false" ht="15" hidden="false" customHeight="false" outlineLevel="0" collapsed="false">
      <c r="E54" s="16" t="s">
        <v>96</v>
      </c>
      <c r="F54" s="17" t="n">
        <f aca="false">COUNTA(A2:A50)</f>
        <v>49</v>
      </c>
    </row>
  </sheetData>
  <autoFilter ref="A1:J50"/>
  <conditionalFormatting sqref="A2:J50">
    <cfRule type="expression" priority="2" aboveAverage="0" equalAverage="0" bottom="0" percent="0" rank="0" text="" dxfId="5">
      <formula>$G2="No"</formula>
    </cfRule>
    <cfRule type="expression" priority="3" aboveAverage="0" equalAverage="0" bottom="0" percent="0" rank="0" text="" dxfId="6">
      <formula>$G2="Sì"</formula>
    </cfRule>
  </conditionalFormatting>
  <dataValidations count="1">
    <dataValidation allowBlank="true" errorStyle="stop" operator="between" showDropDown="false" showErrorMessage="false" showInputMessage="false" sqref="G2:G50" type="list">
      <formula1>"Sì,No"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8"/>
    <col collapsed="false" customWidth="true" hidden="false" outlineLevel="0" max="3" min="3" style="0" width="34"/>
    <col collapsed="false" customWidth="true" hidden="false" outlineLevel="0" max="4" min="4" style="0" width="55"/>
    <col collapsed="false" customWidth="true" hidden="false" outlineLevel="0" max="5" min="5" style="0" width="50"/>
    <col collapsed="false" customWidth="true" hidden="false" outlineLevel="0" max="6" min="6" style="0" width="12"/>
    <col collapsed="false" customWidth="true" hidden="false" outlineLevel="0" max="7" min="7" style="0" width="40"/>
  </cols>
  <sheetData>
    <row r="1" customFormat="false" ht="26.85" hidden="false" customHeight="false" outlineLevel="0" collapsed="false">
      <c r="A1" s="5" t="s">
        <v>97</v>
      </c>
      <c r="B1" s="5" t="s">
        <v>98</v>
      </c>
      <c r="C1" s="5" t="s">
        <v>99</v>
      </c>
      <c r="D1" s="5" t="s">
        <v>100</v>
      </c>
      <c r="E1" s="5" t="s">
        <v>101</v>
      </c>
      <c r="F1" s="5" t="s">
        <v>102</v>
      </c>
      <c r="G1" s="5" t="s">
        <v>103</v>
      </c>
    </row>
    <row r="2" customFormat="false" ht="15" hidden="false" customHeight="false" outlineLevel="0" collapsed="false">
      <c r="A2" s="6" t="s">
        <v>27</v>
      </c>
      <c r="B2" s="6" t="s">
        <v>104</v>
      </c>
      <c r="C2" s="18" t="s">
        <v>105</v>
      </c>
      <c r="D2" s="6" t="s">
        <v>106</v>
      </c>
      <c r="E2" s="6"/>
      <c r="F2" s="8"/>
      <c r="G2" s="8"/>
    </row>
    <row r="3" customFormat="false" ht="15" hidden="false" customHeight="false" outlineLevel="0" collapsed="false">
      <c r="A3" s="6" t="s">
        <v>27</v>
      </c>
      <c r="B3" s="6" t="s">
        <v>107</v>
      </c>
      <c r="C3" s="18" t="s">
        <v>108</v>
      </c>
      <c r="D3" s="6" t="s">
        <v>106</v>
      </c>
      <c r="E3" s="6"/>
      <c r="F3" s="8"/>
      <c r="G3" s="8"/>
    </row>
    <row r="4" customFormat="false" ht="15" hidden="false" customHeight="false" outlineLevel="0" collapsed="false">
      <c r="A4" s="6" t="s">
        <v>27</v>
      </c>
      <c r="B4" s="6" t="s">
        <v>109</v>
      </c>
      <c r="C4" s="18" t="s">
        <v>110</v>
      </c>
      <c r="D4" s="6" t="s">
        <v>106</v>
      </c>
      <c r="E4" s="6"/>
      <c r="F4" s="8"/>
      <c r="G4" s="8"/>
    </row>
    <row r="5" customFormat="false" ht="15" hidden="false" customHeight="false" outlineLevel="0" collapsed="false">
      <c r="A5" s="6" t="s">
        <v>27</v>
      </c>
      <c r="B5" s="6" t="s">
        <v>111</v>
      </c>
      <c r="C5" s="18" t="s">
        <v>112</v>
      </c>
      <c r="D5" s="6" t="s">
        <v>106</v>
      </c>
      <c r="E5" s="6"/>
      <c r="F5" s="8"/>
      <c r="G5" s="8"/>
    </row>
    <row r="6" customFormat="false" ht="15" hidden="false" customHeight="false" outlineLevel="0" collapsed="false">
      <c r="A6" s="6" t="s">
        <v>27</v>
      </c>
      <c r="B6" s="6" t="s">
        <v>113</v>
      </c>
      <c r="C6" s="18" t="s">
        <v>114</v>
      </c>
      <c r="D6" s="6" t="s">
        <v>106</v>
      </c>
      <c r="E6" s="6"/>
      <c r="F6" s="8"/>
      <c r="G6" s="8"/>
    </row>
    <row r="7" customFormat="false" ht="15" hidden="false" customHeight="false" outlineLevel="0" collapsed="false">
      <c r="A7" s="6" t="s">
        <v>115</v>
      </c>
      <c r="B7" s="6" t="s">
        <v>116</v>
      </c>
      <c r="C7" s="18" t="s">
        <v>117</v>
      </c>
      <c r="D7" s="6" t="s">
        <v>118</v>
      </c>
      <c r="E7" s="6"/>
      <c r="F7" s="8"/>
      <c r="G7" s="8"/>
    </row>
    <row r="8" customFormat="false" ht="15" hidden="false" customHeight="false" outlineLevel="0" collapsed="false">
      <c r="A8" s="6" t="s">
        <v>115</v>
      </c>
      <c r="B8" s="6" t="s">
        <v>119</v>
      </c>
      <c r="C8" s="18" t="s">
        <v>120</v>
      </c>
      <c r="D8" s="6" t="s">
        <v>118</v>
      </c>
      <c r="E8" s="6"/>
      <c r="F8" s="8"/>
      <c r="G8" s="8"/>
    </row>
    <row r="9" customFormat="false" ht="15" hidden="false" customHeight="false" outlineLevel="0" collapsed="false">
      <c r="A9" s="6" t="s">
        <v>115</v>
      </c>
      <c r="B9" s="6" t="s">
        <v>121</v>
      </c>
      <c r="C9" s="18" t="s">
        <v>122</v>
      </c>
      <c r="D9" s="6" t="s">
        <v>118</v>
      </c>
      <c r="E9" s="6"/>
      <c r="F9" s="8"/>
      <c r="G9" s="8"/>
    </row>
    <row r="10" customFormat="false" ht="23.85" hidden="false" customHeight="false" outlineLevel="0" collapsed="false">
      <c r="A10" s="6" t="s">
        <v>123</v>
      </c>
      <c r="B10" s="6" t="s">
        <v>124</v>
      </c>
      <c r="C10" s="18" t="s">
        <v>125</v>
      </c>
      <c r="D10" s="6" t="s">
        <v>126</v>
      </c>
      <c r="E10" s="6"/>
      <c r="F10" s="8"/>
      <c r="G10" s="8"/>
    </row>
    <row r="11" customFormat="false" ht="23.85" hidden="false" customHeight="false" outlineLevel="0" collapsed="false">
      <c r="A11" s="6" t="s">
        <v>123</v>
      </c>
      <c r="B11" s="6" t="s">
        <v>127</v>
      </c>
      <c r="C11" s="18" t="s">
        <v>128</v>
      </c>
      <c r="D11" s="6" t="s">
        <v>126</v>
      </c>
      <c r="E11" s="6"/>
      <c r="F11" s="8"/>
      <c r="G11" s="8"/>
    </row>
    <row r="12" customFormat="false" ht="23.85" hidden="false" customHeight="false" outlineLevel="0" collapsed="false">
      <c r="A12" s="6" t="s">
        <v>123</v>
      </c>
      <c r="B12" s="6" t="s">
        <v>129</v>
      </c>
      <c r="C12" s="18" t="s">
        <v>130</v>
      </c>
      <c r="D12" s="6" t="s">
        <v>126</v>
      </c>
      <c r="E12" s="6"/>
      <c r="F12" s="8"/>
      <c r="G12" s="8"/>
    </row>
    <row r="13" customFormat="false" ht="15" hidden="false" customHeight="false" outlineLevel="0" collapsed="false">
      <c r="A13" s="6" t="s">
        <v>79</v>
      </c>
      <c r="B13" s="6" t="s">
        <v>131</v>
      </c>
      <c r="C13" s="18" t="s">
        <v>132</v>
      </c>
      <c r="D13" s="6" t="s">
        <v>133</v>
      </c>
      <c r="E13" s="6"/>
      <c r="F13" s="8"/>
      <c r="G13" s="8"/>
    </row>
    <row r="14" customFormat="false" ht="15" hidden="false" customHeight="false" outlineLevel="0" collapsed="false">
      <c r="A14" s="6" t="s">
        <v>79</v>
      </c>
      <c r="B14" s="6" t="s">
        <v>134</v>
      </c>
      <c r="C14" s="18" t="s">
        <v>135</v>
      </c>
      <c r="D14" s="6" t="s">
        <v>133</v>
      </c>
      <c r="E14" s="6"/>
      <c r="F14" s="8"/>
      <c r="G14" s="8"/>
    </row>
    <row r="15" customFormat="false" ht="15" hidden="false" customHeight="false" outlineLevel="0" collapsed="false">
      <c r="A15" s="6" t="s">
        <v>79</v>
      </c>
      <c r="B15" s="6" t="s">
        <v>136</v>
      </c>
      <c r="C15" s="18" t="s">
        <v>137</v>
      </c>
      <c r="D15" s="6" t="s">
        <v>133</v>
      </c>
      <c r="E15" s="6"/>
      <c r="F15" s="8"/>
      <c r="G15" s="8"/>
    </row>
    <row r="16" customFormat="false" ht="15" hidden="false" customHeight="false" outlineLevel="0" collapsed="false">
      <c r="A16" s="6" t="s">
        <v>79</v>
      </c>
      <c r="B16" s="6" t="s">
        <v>138</v>
      </c>
      <c r="C16" s="18" t="s">
        <v>139</v>
      </c>
      <c r="D16" s="6" t="s">
        <v>133</v>
      </c>
      <c r="E16" s="6"/>
      <c r="F16" s="8"/>
      <c r="G16" s="8"/>
    </row>
    <row r="17" customFormat="false" ht="15" hidden="false" customHeight="false" outlineLevel="0" collapsed="false">
      <c r="A17" s="6" t="s">
        <v>79</v>
      </c>
      <c r="B17" s="6" t="s">
        <v>140</v>
      </c>
      <c r="C17" s="18" t="s">
        <v>141</v>
      </c>
      <c r="D17" s="6" t="s">
        <v>133</v>
      </c>
      <c r="E17" s="6"/>
      <c r="F17" s="8"/>
      <c r="G17" s="8"/>
    </row>
    <row r="18" customFormat="false" ht="35.05" hidden="false" customHeight="false" outlineLevel="0" collapsed="false">
      <c r="A18" s="6" t="s">
        <v>142</v>
      </c>
      <c r="B18" s="6" t="s">
        <v>143</v>
      </c>
      <c r="C18" s="18" t="s">
        <v>144</v>
      </c>
      <c r="D18" s="6" t="s">
        <v>145</v>
      </c>
      <c r="E18" s="6" t="s">
        <v>146</v>
      </c>
      <c r="F18" s="8"/>
      <c r="G18" s="8"/>
    </row>
    <row r="19" customFormat="false" ht="23.85" hidden="false" customHeight="false" outlineLevel="0" collapsed="false">
      <c r="A19" s="6" t="s">
        <v>142</v>
      </c>
      <c r="B19" s="6" t="s">
        <v>147</v>
      </c>
      <c r="C19" s="18" t="s">
        <v>148</v>
      </c>
      <c r="D19" s="6" t="s">
        <v>145</v>
      </c>
      <c r="E19" s="6"/>
      <c r="F19" s="8"/>
      <c r="G19" s="8"/>
    </row>
    <row r="20" customFormat="false" ht="23.85" hidden="false" customHeight="false" outlineLevel="0" collapsed="false">
      <c r="A20" s="6" t="s">
        <v>142</v>
      </c>
      <c r="B20" s="6" t="s">
        <v>149</v>
      </c>
      <c r="C20" s="18" t="s">
        <v>150</v>
      </c>
      <c r="D20" s="6" t="s">
        <v>145</v>
      </c>
      <c r="E20" s="6"/>
      <c r="F20" s="8"/>
      <c r="G20" s="8"/>
    </row>
    <row r="21" customFormat="false" ht="23.85" hidden="false" customHeight="false" outlineLevel="0" collapsed="false">
      <c r="A21" s="6" t="s">
        <v>142</v>
      </c>
      <c r="B21" s="6" t="s">
        <v>151</v>
      </c>
      <c r="C21" s="18" t="s">
        <v>152</v>
      </c>
      <c r="D21" s="6" t="s">
        <v>145</v>
      </c>
      <c r="E21" s="6"/>
      <c r="F21" s="8"/>
      <c r="G21" s="8"/>
    </row>
    <row r="22" customFormat="false" ht="23.85" hidden="false" customHeight="false" outlineLevel="0" collapsed="false">
      <c r="A22" s="6" t="s">
        <v>142</v>
      </c>
      <c r="B22" s="6" t="s">
        <v>153</v>
      </c>
      <c r="C22" s="18" t="s">
        <v>154</v>
      </c>
      <c r="D22" s="6" t="s">
        <v>145</v>
      </c>
      <c r="E22" s="6"/>
      <c r="F22" s="8"/>
      <c r="G22" s="8"/>
    </row>
    <row r="23" customFormat="false" ht="23.85" hidden="false" customHeight="false" outlineLevel="0" collapsed="false">
      <c r="A23" s="6" t="s">
        <v>142</v>
      </c>
      <c r="B23" s="6" t="s">
        <v>155</v>
      </c>
      <c r="C23" s="18" t="s">
        <v>156</v>
      </c>
      <c r="D23" s="6" t="s">
        <v>145</v>
      </c>
      <c r="E23" s="6"/>
      <c r="F23" s="8"/>
      <c r="G23" s="8"/>
    </row>
    <row r="24" customFormat="false" ht="23.85" hidden="false" customHeight="false" outlineLevel="0" collapsed="false">
      <c r="A24" s="6" t="s">
        <v>142</v>
      </c>
      <c r="B24" s="6" t="s">
        <v>157</v>
      </c>
      <c r="C24" s="18" t="s">
        <v>158</v>
      </c>
      <c r="D24" s="6" t="s">
        <v>145</v>
      </c>
      <c r="E24" s="6"/>
      <c r="F24" s="8"/>
      <c r="G24" s="8"/>
    </row>
    <row r="25" customFormat="false" ht="23.85" hidden="false" customHeight="false" outlineLevel="0" collapsed="false">
      <c r="A25" s="6" t="s">
        <v>142</v>
      </c>
      <c r="B25" s="6" t="s">
        <v>159</v>
      </c>
      <c r="C25" s="18" t="s">
        <v>160</v>
      </c>
      <c r="D25" s="6" t="s">
        <v>145</v>
      </c>
      <c r="E25" s="6"/>
      <c r="F25" s="8"/>
      <c r="G25" s="8"/>
    </row>
    <row r="26" customFormat="false" ht="23.85" hidden="false" customHeight="false" outlineLevel="0" collapsed="false">
      <c r="A26" s="6" t="s">
        <v>142</v>
      </c>
      <c r="B26" s="6" t="s">
        <v>161</v>
      </c>
      <c r="C26" s="18" t="s">
        <v>162</v>
      </c>
      <c r="D26" s="6" t="s">
        <v>145</v>
      </c>
      <c r="E26" s="6"/>
      <c r="F26" s="8"/>
      <c r="G26" s="8"/>
    </row>
    <row r="27" customFormat="false" ht="23.85" hidden="false" customHeight="false" outlineLevel="0" collapsed="false">
      <c r="A27" s="6" t="s">
        <v>142</v>
      </c>
      <c r="B27" s="6" t="s">
        <v>163</v>
      </c>
      <c r="C27" s="18" t="s">
        <v>164</v>
      </c>
      <c r="D27" s="6" t="s">
        <v>145</v>
      </c>
      <c r="E27" s="6"/>
      <c r="F27" s="8"/>
      <c r="G27" s="8"/>
    </row>
    <row r="28" customFormat="false" ht="35.05" hidden="false" customHeight="false" outlineLevel="0" collapsed="false">
      <c r="A28" s="6" t="s">
        <v>165</v>
      </c>
      <c r="B28" s="6" t="s">
        <v>166</v>
      </c>
      <c r="C28" s="18" t="s">
        <v>167</v>
      </c>
      <c r="D28" s="6" t="s">
        <v>168</v>
      </c>
      <c r="E28" s="6" t="s">
        <v>169</v>
      </c>
      <c r="F28" s="8"/>
      <c r="G28" s="8"/>
    </row>
    <row r="29" customFormat="false" ht="15" hidden="false" customHeight="false" outlineLevel="0" collapsed="false">
      <c r="A29" s="6" t="s">
        <v>165</v>
      </c>
      <c r="B29" s="6" t="s">
        <v>170</v>
      </c>
      <c r="C29" s="18" t="s">
        <v>171</v>
      </c>
      <c r="D29" s="6" t="s">
        <v>168</v>
      </c>
      <c r="E29" s="6"/>
      <c r="F29" s="8"/>
      <c r="G29" s="8"/>
    </row>
    <row r="30" customFormat="false" ht="15" hidden="false" customHeight="false" outlineLevel="0" collapsed="false">
      <c r="A30" s="6" t="s">
        <v>165</v>
      </c>
      <c r="B30" s="6" t="s">
        <v>172</v>
      </c>
      <c r="C30" s="18" t="s">
        <v>173</v>
      </c>
      <c r="D30" s="6" t="s">
        <v>168</v>
      </c>
      <c r="E30" s="6"/>
      <c r="F30" s="8"/>
      <c r="G30" s="8"/>
    </row>
    <row r="31" customFormat="false" ht="15" hidden="false" customHeight="false" outlineLevel="0" collapsed="false">
      <c r="A31" s="6" t="s">
        <v>165</v>
      </c>
      <c r="B31" s="6" t="s">
        <v>174</v>
      </c>
      <c r="C31" s="18" t="s">
        <v>175</v>
      </c>
      <c r="D31" s="6" t="s">
        <v>168</v>
      </c>
      <c r="E31" s="6"/>
      <c r="F31" s="8"/>
      <c r="G31" s="8"/>
    </row>
    <row r="32" customFormat="false" ht="15" hidden="false" customHeight="false" outlineLevel="0" collapsed="false">
      <c r="A32" s="6" t="s">
        <v>165</v>
      </c>
      <c r="B32" s="6" t="s">
        <v>176</v>
      </c>
      <c r="C32" s="18" t="s">
        <v>160</v>
      </c>
      <c r="D32" s="6" t="s">
        <v>168</v>
      </c>
      <c r="E32" s="6"/>
      <c r="F32" s="8"/>
      <c r="G32" s="8"/>
    </row>
    <row r="33" customFormat="false" ht="23.85" hidden="false" customHeight="false" outlineLevel="0" collapsed="false">
      <c r="A33" s="6" t="s">
        <v>177</v>
      </c>
      <c r="B33" s="6" t="s">
        <v>178</v>
      </c>
      <c r="C33" s="18" t="s">
        <v>137</v>
      </c>
      <c r="D33" s="6" t="s">
        <v>179</v>
      </c>
      <c r="E33" s="6"/>
      <c r="F33" s="8"/>
      <c r="G33" s="8"/>
    </row>
    <row r="34" customFormat="false" ht="23.85" hidden="false" customHeight="false" outlineLevel="0" collapsed="false">
      <c r="A34" s="6" t="s">
        <v>177</v>
      </c>
      <c r="B34" s="6" t="s">
        <v>180</v>
      </c>
      <c r="C34" s="18" t="s">
        <v>137</v>
      </c>
      <c r="D34" s="6" t="s">
        <v>179</v>
      </c>
      <c r="E34" s="6"/>
      <c r="F34" s="8"/>
      <c r="G34" s="8"/>
    </row>
    <row r="35" customFormat="false" ht="23.85" hidden="false" customHeight="false" outlineLevel="0" collapsed="false">
      <c r="A35" s="6" t="s">
        <v>177</v>
      </c>
      <c r="B35" s="6" t="s">
        <v>181</v>
      </c>
      <c r="C35" s="18" t="s">
        <v>137</v>
      </c>
      <c r="D35" s="6" t="s">
        <v>179</v>
      </c>
      <c r="E35" s="6"/>
      <c r="F35" s="8"/>
      <c r="G35" s="8"/>
    </row>
    <row r="36" customFormat="false" ht="23.85" hidden="false" customHeight="false" outlineLevel="0" collapsed="false">
      <c r="A36" s="6" t="s">
        <v>177</v>
      </c>
      <c r="B36" s="6" t="s">
        <v>182</v>
      </c>
      <c r="C36" s="18" t="s">
        <v>137</v>
      </c>
      <c r="D36" s="6" t="s">
        <v>179</v>
      </c>
      <c r="E36" s="6"/>
      <c r="F36" s="8"/>
      <c r="G36" s="8"/>
    </row>
    <row r="37" customFormat="false" ht="23.85" hidden="false" customHeight="false" outlineLevel="0" collapsed="false">
      <c r="A37" s="6" t="s">
        <v>177</v>
      </c>
      <c r="B37" s="6" t="s">
        <v>183</v>
      </c>
      <c r="C37" s="18" t="s">
        <v>137</v>
      </c>
      <c r="D37" s="6" t="s">
        <v>179</v>
      </c>
      <c r="E37" s="6"/>
      <c r="F37" s="8"/>
      <c r="G37" s="8"/>
    </row>
    <row r="38" customFormat="false" ht="23.85" hidden="false" customHeight="false" outlineLevel="0" collapsed="false">
      <c r="A38" s="6" t="s">
        <v>177</v>
      </c>
      <c r="B38" s="6" t="s">
        <v>184</v>
      </c>
      <c r="C38" s="18" t="s">
        <v>137</v>
      </c>
      <c r="D38" s="6" t="s">
        <v>179</v>
      </c>
      <c r="E38" s="6"/>
      <c r="F38" s="8"/>
      <c r="G38" s="8"/>
    </row>
    <row r="39" customFormat="false" ht="23.85" hidden="false" customHeight="false" outlineLevel="0" collapsed="false">
      <c r="A39" s="6" t="s">
        <v>177</v>
      </c>
      <c r="B39" s="6" t="s">
        <v>185</v>
      </c>
      <c r="C39" s="18" t="s">
        <v>137</v>
      </c>
      <c r="D39" s="6" t="s">
        <v>179</v>
      </c>
      <c r="E39" s="6"/>
      <c r="F39" s="8"/>
      <c r="G39" s="8"/>
    </row>
    <row r="40" customFormat="false" ht="23.85" hidden="false" customHeight="false" outlineLevel="0" collapsed="false">
      <c r="A40" s="6" t="s">
        <v>177</v>
      </c>
      <c r="B40" s="6" t="s">
        <v>186</v>
      </c>
      <c r="C40" s="18" t="s">
        <v>187</v>
      </c>
      <c r="D40" s="6" t="s">
        <v>179</v>
      </c>
      <c r="E40" s="6"/>
      <c r="F40" s="8"/>
      <c r="G40" s="8"/>
    </row>
    <row r="41" customFormat="false" ht="23.85" hidden="false" customHeight="false" outlineLevel="0" collapsed="false">
      <c r="A41" s="6" t="s">
        <v>177</v>
      </c>
      <c r="B41" s="6" t="s">
        <v>188</v>
      </c>
      <c r="C41" s="18" t="s">
        <v>189</v>
      </c>
      <c r="D41" s="6" t="s">
        <v>179</v>
      </c>
      <c r="E41" s="6"/>
      <c r="F41" s="8"/>
      <c r="G41" s="8"/>
    </row>
    <row r="42" customFormat="false" ht="23.85" hidden="false" customHeight="false" outlineLevel="0" collapsed="false">
      <c r="A42" s="6" t="s">
        <v>177</v>
      </c>
      <c r="B42" s="6" t="s">
        <v>190</v>
      </c>
      <c r="C42" s="18" t="s">
        <v>191</v>
      </c>
      <c r="D42" s="6" t="s">
        <v>179</v>
      </c>
      <c r="E42" s="6"/>
      <c r="F42" s="8"/>
      <c r="G42" s="8"/>
    </row>
    <row r="43" customFormat="false" ht="23.85" hidden="false" customHeight="false" outlineLevel="0" collapsed="false">
      <c r="A43" s="6" t="s">
        <v>177</v>
      </c>
      <c r="B43" s="6" t="s">
        <v>192</v>
      </c>
      <c r="C43" s="18" t="s">
        <v>137</v>
      </c>
      <c r="D43" s="6" t="s">
        <v>179</v>
      </c>
      <c r="E43" s="6"/>
      <c r="F43" s="8"/>
      <c r="G43" s="8"/>
    </row>
    <row r="44" customFormat="false" ht="23.85" hidden="false" customHeight="false" outlineLevel="0" collapsed="false">
      <c r="A44" s="6" t="s">
        <v>177</v>
      </c>
      <c r="B44" s="6" t="s">
        <v>193</v>
      </c>
      <c r="C44" s="18" t="s">
        <v>137</v>
      </c>
      <c r="D44" s="6" t="s">
        <v>179</v>
      </c>
      <c r="E44" s="6"/>
      <c r="F44" s="8"/>
      <c r="G44" s="8"/>
    </row>
    <row r="45" customFormat="false" ht="23.85" hidden="false" customHeight="false" outlineLevel="0" collapsed="false">
      <c r="A45" s="6" t="s">
        <v>177</v>
      </c>
      <c r="B45" s="6" t="s">
        <v>194</v>
      </c>
      <c r="C45" s="18" t="s">
        <v>137</v>
      </c>
      <c r="D45" s="6" t="s">
        <v>179</v>
      </c>
      <c r="E45" s="6"/>
      <c r="F45" s="8"/>
      <c r="G45" s="8"/>
    </row>
    <row r="46" customFormat="false" ht="23.85" hidden="false" customHeight="false" outlineLevel="0" collapsed="false">
      <c r="A46" s="6" t="s">
        <v>177</v>
      </c>
      <c r="B46" s="6" t="s">
        <v>195</v>
      </c>
      <c r="C46" s="18" t="s">
        <v>196</v>
      </c>
      <c r="D46" s="6" t="s">
        <v>179</v>
      </c>
      <c r="E46" s="6"/>
      <c r="F46" s="8"/>
      <c r="G46" s="8"/>
    </row>
    <row r="47" customFormat="false" ht="23.85" hidden="false" customHeight="false" outlineLevel="0" collapsed="false">
      <c r="A47" s="6" t="s">
        <v>177</v>
      </c>
      <c r="B47" s="6" t="s">
        <v>197</v>
      </c>
      <c r="C47" s="18" t="s">
        <v>196</v>
      </c>
      <c r="D47" s="6" t="s">
        <v>179</v>
      </c>
      <c r="E47" s="6"/>
      <c r="F47" s="8"/>
      <c r="G47" s="8"/>
    </row>
    <row r="48" customFormat="false" ht="23.85" hidden="false" customHeight="false" outlineLevel="0" collapsed="false">
      <c r="A48" s="6" t="s">
        <v>177</v>
      </c>
      <c r="B48" s="6" t="s">
        <v>198</v>
      </c>
      <c r="C48" s="18" t="s">
        <v>196</v>
      </c>
      <c r="D48" s="6" t="s">
        <v>179</v>
      </c>
      <c r="E48" s="6"/>
      <c r="F48" s="8"/>
      <c r="G48" s="8"/>
    </row>
    <row r="49" customFormat="false" ht="23.85" hidden="false" customHeight="false" outlineLevel="0" collapsed="false">
      <c r="A49" s="6" t="s">
        <v>177</v>
      </c>
      <c r="B49" s="6" t="s">
        <v>199</v>
      </c>
      <c r="C49" s="18" t="s">
        <v>137</v>
      </c>
      <c r="D49" s="6" t="s">
        <v>179</v>
      </c>
      <c r="E49" s="6"/>
      <c r="F49" s="8"/>
      <c r="G49" s="8"/>
    </row>
    <row r="50" customFormat="false" ht="23.85" hidden="false" customHeight="false" outlineLevel="0" collapsed="false">
      <c r="A50" s="6" t="s">
        <v>200</v>
      </c>
      <c r="B50" s="6" t="s">
        <v>201</v>
      </c>
      <c r="C50" s="18" t="s">
        <v>202</v>
      </c>
      <c r="D50" s="6" t="s">
        <v>203</v>
      </c>
      <c r="E50" s="6"/>
      <c r="F50" s="8"/>
      <c r="G50" s="8"/>
    </row>
    <row r="51" customFormat="false" ht="23.85" hidden="false" customHeight="false" outlineLevel="0" collapsed="false">
      <c r="A51" s="6" t="s">
        <v>200</v>
      </c>
      <c r="B51" s="6" t="s">
        <v>204</v>
      </c>
      <c r="C51" s="18" t="s">
        <v>205</v>
      </c>
      <c r="D51" s="6" t="s">
        <v>203</v>
      </c>
      <c r="E51" s="6"/>
      <c r="F51" s="8"/>
      <c r="G51" s="8"/>
    </row>
    <row r="52" customFormat="false" ht="23.85" hidden="false" customHeight="false" outlineLevel="0" collapsed="false">
      <c r="A52" s="6" t="s">
        <v>200</v>
      </c>
      <c r="B52" s="6" t="s">
        <v>206</v>
      </c>
      <c r="C52" s="18" t="s">
        <v>207</v>
      </c>
      <c r="D52" s="6" t="s">
        <v>203</v>
      </c>
      <c r="E52" s="6"/>
      <c r="F52" s="8"/>
      <c r="G52" s="8"/>
    </row>
    <row r="53" customFormat="false" ht="23.85" hidden="false" customHeight="false" outlineLevel="0" collapsed="false">
      <c r="A53" s="6" t="s">
        <v>200</v>
      </c>
      <c r="B53" s="6" t="s">
        <v>208</v>
      </c>
      <c r="C53" s="18" t="s">
        <v>209</v>
      </c>
      <c r="D53" s="6" t="s">
        <v>203</v>
      </c>
      <c r="E53" s="6"/>
      <c r="F53" s="8"/>
      <c r="G53" s="8"/>
    </row>
    <row r="54" customFormat="false" ht="23.85" hidden="false" customHeight="false" outlineLevel="0" collapsed="false">
      <c r="A54" s="6" t="s">
        <v>200</v>
      </c>
      <c r="B54" s="6" t="s">
        <v>210</v>
      </c>
      <c r="C54" s="18" t="s">
        <v>211</v>
      </c>
      <c r="D54" s="6" t="s">
        <v>203</v>
      </c>
      <c r="E54" s="6"/>
      <c r="F54" s="8"/>
      <c r="G54" s="8"/>
    </row>
  </sheetData>
  <autoFilter ref="A1:G54"/>
  <conditionalFormatting sqref="A2:G54">
    <cfRule type="expression" priority="2" aboveAverage="0" equalAverage="0" bottom="0" percent="0" rank="0" text="" dxfId="5">
      <formula>$F2="No"</formula>
    </cfRule>
  </conditionalFormatting>
  <dataValidations count="1">
    <dataValidation allowBlank="true" errorStyle="stop" operator="between" showDropDown="false" showErrorMessage="false" showInputMessage="false" sqref="F2:F54" type="list">
      <formula1>"Sì,No"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2026-10-12T08:32:36Z</dcterms:created>
  <dc:creator>openpyxl</dc:creator>
  <dc:description/>
  <dc:language>en-US</dc:language>
  <cp:lastModifiedBy/>
  <dcterms:modified xsi:type="dcterms:W3CDTF">2026-10-12T08:32:36Z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